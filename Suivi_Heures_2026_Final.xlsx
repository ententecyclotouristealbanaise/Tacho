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in" sheetId="1" r:id="rId5"/>
    <sheet state="visible" name="Juillet" sheetId="2" r:id="rId6"/>
    <sheet state="visible" name="Août" sheetId="3" r:id="rId7"/>
    <sheet state="visible" name="Septembre" sheetId="4" r:id="rId8"/>
    <sheet state="visible" name="Octobre" sheetId="5" r:id="rId9"/>
    <sheet state="visible" name="Novembre" sheetId="6" r:id="rId10"/>
    <sheet state="visible" name="Décembre" sheetId="7" r:id="rId11"/>
    <sheet state="visible" name="📊 Tableau de Bord" sheetId="8" r:id="rId12"/>
  </sheets>
  <definedNames/>
  <calcPr/>
</workbook>
</file>

<file path=xl/sharedStrings.xml><?xml version="1.0" encoding="utf-8"?>
<sst xmlns="http://schemas.openxmlformats.org/spreadsheetml/2006/main" count="331" uniqueCount="62">
  <si>
    <t>⏱  SUIVI DES HEURES  –  JUIN 2026</t>
  </si>
  <si>
    <t>Saisir les horaires dans les colonnes bleues   |   Journée de référence : 7h   |   🔴 Mercredi semaine paire = non travaillé (-7h automatique)</t>
  </si>
  <si>
    <t>📅 Date</t>
  </si>
  <si>
    <t>Jour</t>
  </si>
  <si>
    <t>🌅 Début
matin</t>
  </si>
  <si>
    <t>🍽️  Début
pause</t>
  </si>
  <si>
    <t>🔄 Reprise
après-midi</t>
  </si>
  <si>
    <t>🌆 Fin
journée</t>
  </si>
  <si>
    <t>⏱️  Total
jour</t>
  </si>
  <si>
    <t>🔥 Heures
sup. (&gt;7h)</t>
  </si>
  <si>
    <t>Lundi</t>
  </si>
  <si>
    <t>Mardi</t>
  </si>
  <si>
    <t>Mercredi</t>
  </si>
  <si>
    <t>Jeudi</t>
  </si>
  <si>
    <t>Vendredi</t>
  </si>
  <si>
    <t>📊  Total – Semaine 1</t>
  </si>
  <si>
    <t>🔴  Mercredi non travaillé  –  Déduction : -7h00</t>
  </si>
  <si>
    <t>-7:00</t>
  </si>
  <si>
    <t>—</t>
  </si>
  <si>
    <t>📊  Total – Semaine 2</t>
  </si>
  <si>
    <t>📊  Total – Semaine 3</t>
  </si>
  <si>
    <t>📊  Total – Semaine 4</t>
  </si>
  <si>
    <t>📊  Total – Semaine 5</t>
  </si>
  <si>
    <t>📆  TOTAL MENSUEL – JUIN 2026</t>
  </si>
  <si>
    <t>💡 Bleu = à saisir  |  Violet = total calculé  |  Jaune = heures sup.  |  🔴 Rouge = mercredi non travaillé</t>
  </si>
  <si>
    <t>⏱  SUIVI DES HEURES  –  JUILLET 2026</t>
  </si>
  <si>
    <t>📆  TOTAL MENSUEL – JUILLET 2026</t>
  </si>
  <si>
    <t>⏱  SUIVI DES HEURES  –  AOÛT 2026</t>
  </si>
  <si>
    <t>📆  TOTAL MENSUEL – AOÛT 2026</t>
  </si>
  <si>
    <t>⏱  SUIVI DES HEURES  –  SEPTEMBRE 2026</t>
  </si>
  <si>
    <t>📆  TOTAL MENSUEL – SEPTEMBRE 2026</t>
  </si>
  <si>
    <t>⏱  SUIVI DES HEURES  –  OCTOBRE 2026</t>
  </si>
  <si>
    <t>📆  TOTAL MENSUEL – OCTOBRE 2026</t>
  </si>
  <si>
    <t>⏱  SUIVI DES HEURES  –  NOVEMBRE 2026</t>
  </si>
  <si>
    <t>📆  TOTAL MENSUEL – NOVEMBRE 2026</t>
  </si>
  <si>
    <t>⏱  SUIVI DES HEURES  –  DÉCEMBRE 2026</t>
  </si>
  <si>
    <t>📆  TOTAL MENSUEL – DÉCEMBRE 2026</t>
  </si>
  <si>
    <t>📊  TABLEAU DE BORD  –  SUIVI DES HEURES 2026</t>
  </si>
  <si>
    <t>Les données se mettent à jour automatiquement dès que vous saisissez vos heures</t>
  </si>
  <si>
    <t>📈  RÉCAPITULATIF MENSUEL</t>
  </si>
  <si>
    <t>Mois</t>
  </si>
  <si>
    <t>Jours
saisis</t>
  </si>
  <si>
    <t>Heures
travaillées</t>
  </si>
  <si>
    <t>Heures
sup.</t>
  </si>
  <si>
    <t>Moy.
par jour</t>
  </si>
  <si>
    <t>Arrivée
moyenne</t>
  </si>
  <si>
    <t>Départ
moyen</t>
  </si>
  <si>
    <t>Pause
moyenne</t>
  </si>
  <si>
    <t>Juin</t>
  </si>
  <si>
    <t>Juillet</t>
  </si>
  <si>
    <t>Août</t>
  </si>
  <si>
    <t>Septembre</t>
  </si>
  <si>
    <t>Octobre</t>
  </si>
  <si>
    <t>Novembre</t>
  </si>
  <si>
    <t>Décembre</t>
  </si>
  <si>
    <t>📆 TOTAL ANNUEL</t>
  </si>
  <si>
    <t>🏆  INDICATEURS CLÉS</t>
  </si>
  <si>
    <t>🌅 Arrivée la plus fréquente</t>
  </si>
  <si>
    <t>📊 Mois avec le + d'heures sup</t>
  </si>
  <si>
    <t>⏱️ Meilleure semaine</t>
  </si>
  <si>
    <t>📅 Jours saisis au total</t>
  </si>
  <si>
    <t>"Voir feuille mensuelle"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</si>
</sst>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"/>
    <numFmt numFmtId="166" formatCode="[h]:mm"/>
    <numFmt numFmtId="167" formatCode="0.0"/>
  </numFmts>
  <fonts count="23">
    <font>
      <sz val="11.0"/>
      <color rgb="FF000000"/>
      <name val="Arial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10.0"/>
      <color rgb="FFFFFFFF"/>
      <name val="Arial"/>
    </font>
    <font>
      <b/>
      <sz val="11.0"/>
      <color rgb="FF1F4E79"/>
      <name val="Arial"/>
    </font>
    <font>
      <sz val="10.0"/>
      <color rgb="FF595959"/>
      <name val="Arial"/>
    </font>
    <font>
      <sz val="11.0"/>
      <color rgb="FF1F4E79"/>
      <name val="Arial"/>
    </font>
    <font>
      <b/>
      <sz val="11.0"/>
      <color rgb="FF7F6000"/>
      <name val="Arial"/>
    </font>
    <font>
      <b/>
      <sz val="10.0"/>
      <color rgb="FF1F4E79"/>
      <name val="Arial"/>
    </font>
    <font>
      <sz val="11.0"/>
      <color theme="1"/>
      <name val="Calibri"/>
    </font>
    <font>
      <b/>
      <sz val="11.0"/>
      <color rgb="FFC00000"/>
      <name val="Arial"/>
    </font>
    <font>
      <b/>
      <sz val="10.0"/>
      <color rgb="FFC00000"/>
      <name val="Arial"/>
    </font>
    <font>
      <sz val="11.0"/>
      <color rgb="FFC00000"/>
      <name val="Arial"/>
    </font>
    <font>
      <b/>
      <sz val="12.0"/>
      <color rgb="FFFFFFFF"/>
      <name val="Arial"/>
    </font>
    <font>
      <b/>
      <sz val="12.0"/>
      <color rgb="FFFFFF00"/>
      <name val="Arial"/>
    </font>
    <font>
      <b/>
      <sz val="15.0"/>
      <color rgb="FFFFFFFF"/>
      <name val="Arial"/>
    </font>
    <font>
      <b/>
      <sz val="12.0"/>
      <color rgb="FF1F4E79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sz val="11.0"/>
      <color rgb="FFFFFF00"/>
      <name val="Arial"/>
    </font>
    <font>
      <sz val="11.0"/>
      <color rgb="FFFFFFFF"/>
      <name val="Arial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7F6000"/>
        <bgColor rgb="FF7F6000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FD7D7"/>
        <bgColor rgb="FFFFD7D7"/>
      </patternFill>
    </fill>
    <fill>
      <patternFill patternType="solid">
        <fgColor rgb="FF375623"/>
        <bgColor rgb="FF375623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</fills>
  <borders count="15">
    <border/>
    <border>
      <left/>
      <top/>
      <bottom/>
    </border>
    <border>
      <top/>
      <bottom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  <border>
      <left style="thin">
        <color rgb="FF9DC3E6"/>
      </left>
      <top style="thin">
        <color rgb="FF9DC3E6"/>
      </top>
      <bottom style="thin">
        <color rgb="FF9DC3E6"/>
      </bottom>
    </border>
    <border>
      <right style="thin">
        <color rgb="FF9DC3E6"/>
      </right>
      <top style="thin">
        <color rgb="FF9DC3E6"/>
      </top>
      <bottom style="thin">
        <color rgb="FF9DC3E6"/>
      </bottom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</border>
    <border>
      <left style="thin">
        <color rgb="FFC00000"/>
      </left>
      <top style="thin">
        <color rgb="FFC00000"/>
      </top>
      <bottom style="thin">
        <color rgb="FFC00000"/>
      </bottom>
    </border>
    <border>
      <top style="thin">
        <color rgb="FFC00000"/>
      </top>
      <bottom style="thin">
        <color rgb="FFC00000"/>
      </bottom>
    </border>
    <border>
      <right style="thin">
        <color rgb="FFC00000"/>
      </right>
      <top style="thin">
        <color rgb="FFC00000"/>
      </top>
      <bottom style="thin">
        <color rgb="FFC00000"/>
      </bottom>
    </border>
    <border>
      <left style="medium">
        <color rgb="FF1F4E79"/>
      </left>
      <top style="medium">
        <color rgb="FF1F4E79"/>
      </top>
      <bottom style="medium">
        <color rgb="FF1F4E79"/>
      </bottom>
    </border>
    <border>
      <top style="medium">
        <color rgb="FF1F4E79"/>
      </top>
      <bottom style="medium">
        <color rgb="FF1F4E79"/>
      </bottom>
    </border>
    <border>
      <right style="medium">
        <color rgb="FF1F4E79"/>
      </right>
      <top style="medium">
        <color rgb="FF1F4E79"/>
      </top>
      <bottom style="medium">
        <color rgb="FF1F4E7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top style="thin">
        <color rgb="FF9DC3E6"/>
      </top>
      <bottom style="thin">
        <color rgb="FF9DC3E6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3" fillId="4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3" fillId="6" fontId="5" numFmtId="164" xfId="0" applyAlignment="1" applyBorder="1" applyFill="1" applyFont="1" applyNumberFormat="1">
      <alignment horizontal="center" shrinkToFit="0" vertical="center" wrapText="0"/>
    </xf>
    <xf borderId="3" fillId="6" fontId="6" numFmtId="0" xfId="0" applyAlignment="1" applyBorder="1" applyFont="1">
      <alignment horizontal="center" shrinkToFit="0" vertical="center" wrapText="0"/>
    </xf>
    <xf borderId="3" fillId="7" fontId="7" numFmtId="165" xfId="0" applyAlignment="1" applyBorder="1" applyFill="1" applyFont="1" applyNumberFormat="1">
      <alignment horizontal="center" readingOrder="0" shrinkToFit="0" vertical="center" wrapText="0"/>
    </xf>
    <xf borderId="3" fillId="6" fontId="7" numFmtId="165" xfId="0" applyAlignment="1" applyBorder="1" applyFont="1" applyNumberFormat="1">
      <alignment horizontal="center" readingOrder="0" shrinkToFit="0" vertical="center" wrapText="0"/>
    </xf>
    <xf borderId="3" fillId="8" fontId="5" numFmtId="166" xfId="0" applyAlignment="1" applyBorder="1" applyFill="1" applyFont="1" applyNumberFormat="1">
      <alignment horizontal="center" shrinkToFit="0" vertical="center" wrapText="0"/>
    </xf>
    <xf borderId="3" fillId="9" fontId="8" numFmtId="166" xfId="0" applyAlignment="1" applyBorder="1" applyFill="1" applyFont="1" applyNumberFormat="1">
      <alignment horizontal="center" shrinkToFit="0" vertical="center" wrapText="0"/>
    </xf>
    <xf borderId="3" fillId="10" fontId="5" numFmtId="164" xfId="0" applyAlignment="1" applyBorder="1" applyFill="1" applyFont="1" applyNumberFormat="1">
      <alignment horizontal="center" shrinkToFit="0" vertical="center" wrapText="0"/>
    </xf>
    <xf borderId="3" fillId="10" fontId="6" numFmtId="0" xfId="0" applyAlignment="1" applyBorder="1" applyFont="1">
      <alignment horizontal="center" shrinkToFit="0" vertical="center" wrapText="0"/>
    </xf>
    <xf borderId="3" fillId="6" fontId="7" numFmtId="165" xfId="0" applyAlignment="1" applyBorder="1" applyFont="1" applyNumberFormat="1">
      <alignment horizontal="center" shrinkToFit="0" vertical="center" wrapText="0"/>
    </xf>
    <xf borderId="3" fillId="7" fontId="7" numFmtId="165" xfId="0" applyAlignment="1" applyBorder="1" applyFont="1" applyNumberFormat="1">
      <alignment horizontal="center" shrinkToFit="0" vertical="center" wrapText="0"/>
    </xf>
    <xf borderId="3" fillId="8" fontId="5" numFmtId="166" xfId="0" applyAlignment="1" applyBorder="1" applyFont="1" applyNumberFormat="1">
      <alignment horizontal="center" readingOrder="0" shrinkToFit="0" vertical="center" wrapText="0"/>
    </xf>
    <xf borderId="4" fillId="11" fontId="9" numFmtId="0" xfId="0" applyAlignment="1" applyBorder="1" applyFill="1" applyFont="1">
      <alignment horizontal="left" shrinkToFit="0" vertical="center" wrapText="0"/>
    </xf>
    <xf borderId="5" fillId="0" fontId="2" numFmtId="0" xfId="0" applyBorder="1" applyFont="1"/>
    <xf borderId="3" fillId="11" fontId="10" numFmtId="0" xfId="0" applyAlignment="1" applyBorder="1" applyFont="1">
      <alignment shrinkToFit="0" vertical="bottom" wrapText="0"/>
    </xf>
    <xf borderId="3" fillId="11" fontId="5" numFmtId="166" xfId="0" applyAlignment="1" applyBorder="1" applyFont="1" applyNumberFormat="1">
      <alignment horizontal="center" shrinkToFit="0" vertical="center" wrapText="0"/>
    </xf>
    <xf borderId="3" fillId="12" fontId="8" numFmtId="166" xfId="0" applyAlignment="1" applyBorder="1" applyFill="1" applyFont="1" applyNumberFormat="1">
      <alignment horizontal="center" shrinkToFit="0" vertical="center" wrapText="0"/>
    </xf>
    <xf borderId="6" fillId="13" fontId="11" numFmtId="164" xfId="0" applyAlignment="1" applyBorder="1" applyFill="1" applyFont="1" applyNumberFormat="1">
      <alignment horizontal="center" shrinkToFit="0" vertical="center" wrapText="0"/>
    </xf>
    <xf borderId="7" fillId="13" fontId="12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6" fillId="13" fontId="11" numFmtId="0" xfId="0" applyAlignment="1" applyBorder="1" applyFont="1">
      <alignment horizontal="center" shrinkToFit="0" vertical="center" wrapText="0"/>
    </xf>
    <xf borderId="6" fillId="13" fontId="13" numFmtId="0" xfId="0" applyAlignment="1" applyBorder="1" applyFont="1">
      <alignment horizontal="center" shrinkToFit="0" vertical="center" wrapText="0"/>
    </xf>
    <xf borderId="10" fillId="14" fontId="14" numFmtId="0" xfId="0" applyAlignment="1" applyBorder="1" applyFill="1" applyFon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14" fontId="14" numFmtId="166" xfId="0" applyAlignment="1" applyBorder="1" applyFont="1" applyNumberFormat="1">
      <alignment horizontal="center" shrinkToFit="0" vertical="center" wrapText="0"/>
    </xf>
    <xf borderId="13" fillId="5" fontId="15" numFmtId="166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1" fillId="15" fontId="16" numFmtId="0" xfId="0" applyAlignment="1" applyBorder="1" applyFill="1" applyFont="1">
      <alignment horizontal="center" shrinkToFit="0" vertical="center" wrapText="0"/>
    </xf>
    <xf borderId="1" fillId="7" fontId="17" numFmtId="0" xfId="0" applyAlignment="1" applyBorder="1" applyFont="1">
      <alignment horizontal="left" shrinkToFit="0" vertical="center" wrapText="0"/>
    </xf>
    <xf borderId="3" fillId="4" fontId="18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center" shrinkToFit="0" vertical="center" wrapText="0"/>
    </xf>
    <xf borderId="3" fillId="6" fontId="7" numFmtId="0" xfId="0" applyAlignment="1" applyBorder="1" applyFont="1">
      <alignment horizontal="center" shrinkToFit="0" vertical="center" wrapText="0"/>
    </xf>
    <xf borderId="3" fillId="6" fontId="7" numFmtId="166" xfId="0" applyAlignment="1" applyBorder="1" applyFont="1" applyNumberFormat="1">
      <alignment horizontal="center" shrinkToFit="0" vertical="center" wrapText="0"/>
    </xf>
    <xf borderId="0" fillId="0" fontId="10" numFmtId="167" xfId="0" applyAlignment="1" applyFont="1" applyNumberFormat="1">
      <alignment horizontal="center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3" fillId="10" fontId="7" numFmtId="0" xfId="0" applyAlignment="1" applyBorder="1" applyFont="1">
      <alignment horizontal="center" shrinkToFit="0" vertical="center" wrapText="0"/>
    </xf>
    <xf borderId="3" fillId="10" fontId="7" numFmtId="166" xfId="0" applyAlignment="1" applyBorder="1" applyFont="1" applyNumberFormat="1">
      <alignment horizontal="center" shrinkToFit="0" vertical="center" wrapText="0"/>
    </xf>
    <xf borderId="3" fillId="10" fontId="7" numFmtId="165" xfId="0" applyAlignment="1" applyBorder="1" applyFont="1" applyNumberFormat="1">
      <alignment horizontal="center" shrinkToFit="0" vertical="center" wrapText="0"/>
    </xf>
    <xf borderId="13" fillId="14" fontId="4" numFmtId="0" xfId="0" applyAlignment="1" applyBorder="1" applyFont="1">
      <alignment horizontal="center" shrinkToFit="0" vertical="center" wrapText="0"/>
    </xf>
    <xf borderId="13" fillId="14" fontId="19" numFmtId="0" xfId="0" applyAlignment="1" applyBorder="1" applyFont="1">
      <alignment horizontal="center" shrinkToFit="0" vertical="center" wrapText="0"/>
    </xf>
    <xf borderId="13" fillId="14" fontId="19" numFmtId="166" xfId="0" applyAlignment="1" applyBorder="1" applyFont="1" applyNumberFormat="1">
      <alignment horizontal="center" shrinkToFit="0" vertical="center" wrapText="0"/>
    </xf>
    <xf borderId="13" fillId="14" fontId="20" numFmtId="166" xfId="0" applyAlignment="1" applyBorder="1" applyFont="1" applyNumberFormat="1">
      <alignment horizontal="center" shrinkToFit="0" vertical="center" wrapText="0"/>
    </xf>
    <xf borderId="13" fillId="14" fontId="21" numFmtId="0" xfId="0" applyAlignment="1" applyBorder="1" applyFont="1">
      <alignment horizontal="center" shrinkToFit="0" vertical="center" wrapText="0"/>
    </xf>
    <xf borderId="0" fillId="0" fontId="22" numFmtId="167" xfId="0" applyFont="1" applyNumberFormat="1"/>
    <xf borderId="4" fillId="16" fontId="18" numFmtId="0" xfId="0" applyAlignment="1" applyBorder="1" applyFill="1" applyFont="1">
      <alignment horizontal="center" shrinkToFit="0" vertical="center" wrapText="0"/>
    </xf>
    <xf borderId="14" fillId="0" fontId="2" numFmtId="0" xfId="0" applyBorder="1" applyFont="1"/>
    <xf borderId="4" fillId="6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Heures travaillées par mois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'📊 Tableau de Bord'!$A$6:$A$12</c:f>
            </c:strRef>
          </c:cat>
          <c:val>
            <c:numRef>
              <c:f>'📊 Tableau de Bord'!$I$6:$I$12</c:f>
              <c:numCache/>
            </c:numRef>
          </c:val>
        </c:ser>
        <c:axId val="172908057"/>
        <c:axId val="1019188828"/>
      </c:barChart>
      <c:catAx>
        <c:axId val="172908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19188828"/>
      </c:catAx>
      <c:valAx>
        <c:axId val="101918882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29080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Heures supplémentaires par mois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'📊 Tableau de Bord'!$A$6:$A$12</c:f>
            </c:strRef>
          </c:cat>
          <c:val>
            <c:numRef>
              <c:f>'📊 Tableau de Bord'!$J$6:$J$12</c:f>
              <c:numCache/>
            </c:numRef>
          </c:val>
        </c:ser>
        <c:axId val="1465081657"/>
        <c:axId val="1714060771"/>
      </c:barChart>
      <c:catAx>
        <c:axId val="1465081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14060771"/>
      </c:catAx>
      <c:valAx>
        <c:axId val="171406077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650816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0</xdr:rowOff>
    </xdr:from>
    <xdr:ext cx="7667625" cy="41433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41</xdr:row>
      <xdr:rowOff>9525</xdr:rowOff>
    </xdr:from>
    <xdr:ext cx="7667625" cy="41433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17.88"/>
    <col customWidth="1" min="3" max="3" width="18.75"/>
    <col customWidth="1" min="4" max="4" width="18.88"/>
    <col customWidth="1" min="5" max="5" width="18.13"/>
    <col customWidth="1" min="6" max="6" width="17.13"/>
    <col customWidth="1" min="7" max="7" width="18.75"/>
    <col customWidth="1" min="8" max="8" width="17.38"/>
    <col customWidth="1" min="9" max="26" width="14.38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36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ht="19.5" customHeight="1">
      <c r="A4" s="6">
        <v>46174.0</v>
      </c>
      <c r="B4" s="7" t="s">
        <v>10</v>
      </c>
      <c r="C4" s="8">
        <v>0.28680555555555554</v>
      </c>
      <c r="D4" s="9">
        <v>0.4791666666666667</v>
      </c>
      <c r="E4" s="8">
        <v>0.5229166666666667</v>
      </c>
      <c r="F4" s="9">
        <v>0.6979166666666666</v>
      </c>
      <c r="G4" s="10">
        <f t="shared" ref="G4:G5" si="1">IF(OR(C4="",D4="",E4="",F4=""),"",(D4-C4)+(F4-E4))</f>
        <v>0.3673611111</v>
      </c>
      <c r="H4" s="11">
        <f t="shared" ref="H4:H8" si="2">IF(G4="","",MAX(0,G4-TIME(7,0,0)))</f>
        <v>0.07569444444</v>
      </c>
    </row>
    <row r="5" ht="19.5" customHeight="1">
      <c r="A5" s="12">
        <v>46175.0</v>
      </c>
      <c r="B5" s="13" t="s">
        <v>11</v>
      </c>
      <c r="C5" s="8">
        <v>0.2951388888888889</v>
      </c>
      <c r="D5" s="14"/>
      <c r="E5" s="15"/>
      <c r="F5" s="14"/>
      <c r="G5" s="10" t="str">
        <f t="shared" si="1"/>
        <v/>
      </c>
      <c r="H5" s="11" t="str">
        <f t="shared" si="2"/>
        <v/>
      </c>
    </row>
    <row r="6" ht="19.5" customHeight="1">
      <c r="A6" s="6">
        <v>46176.0</v>
      </c>
      <c r="B6" s="7" t="s">
        <v>12</v>
      </c>
      <c r="C6" s="15"/>
      <c r="D6" s="14"/>
      <c r="E6" s="15"/>
      <c r="F6" s="14"/>
      <c r="G6" s="16">
        <v>-0.125</v>
      </c>
      <c r="H6" s="11">
        <f t="shared" si="2"/>
        <v>0</v>
      </c>
    </row>
    <row r="7" ht="19.5" customHeight="1">
      <c r="A7" s="12">
        <v>46177.0</v>
      </c>
      <c r="B7" s="13" t="s">
        <v>13</v>
      </c>
      <c r="C7" s="15"/>
      <c r="D7" s="14"/>
      <c r="E7" s="15"/>
      <c r="F7" s="14"/>
      <c r="G7" s="10" t="str">
        <f t="shared" ref="G7:G8" si="3">IF(OR(C7="",D7="",E7="",F7=""),"",(D7-C7)+(F7-E7))</f>
        <v/>
      </c>
      <c r="H7" s="11" t="str">
        <f t="shared" si="2"/>
        <v/>
      </c>
    </row>
    <row r="8" ht="19.5" customHeight="1">
      <c r="A8" s="6">
        <v>46178.0</v>
      </c>
      <c r="B8" s="7" t="s">
        <v>14</v>
      </c>
      <c r="C8" s="15"/>
      <c r="D8" s="14"/>
      <c r="E8" s="15"/>
      <c r="F8" s="14"/>
      <c r="G8" s="10" t="str">
        <f t="shared" si="3"/>
        <v/>
      </c>
      <c r="H8" s="11" t="str">
        <f t="shared" si="2"/>
        <v/>
      </c>
    </row>
    <row r="9" ht="21.75" customHeight="1">
      <c r="A9" s="17" t="s">
        <v>15</v>
      </c>
      <c r="B9" s="18"/>
      <c r="C9" s="19"/>
      <c r="D9" s="19"/>
      <c r="E9" s="19"/>
      <c r="F9" s="19"/>
      <c r="G9" s="20">
        <f t="shared" ref="G9:H9" si="4">SUM(G4:G8)</f>
        <v>0.2423611111</v>
      </c>
      <c r="H9" s="21">
        <f t="shared" si="4"/>
        <v>0.07569444444</v>
      </c>
    </row>
    <row r="10" ht="19.5" customHeight="1">
      <c r="A10" s="6">
        <v>46181.0</v>
      </c>
      <c r="B10" s="7" t="s">
        <v>10</v>
      </c>
      <c r="C10" s="15"/>
      <c r="D10" s="14"/>
      <c r="E10" s="15"/>
      <c r="F10" s="14"/>
      <c r="G10" s="10" t="str">
        <f t="shared" ref="G10:G11" si="5">IF(OR(C10="",D10="",E10="",F10=""),"",(D10-C10)+(F10-E10))</f>
        <v/>
      </c>
      <c r="H10" s="11" t="str">
        <f t="shared" ref="H10:H11" si="6">IF(G10="","",MAX(0,G10-TIME(7,0,0)))</f>
        <v/>
      </c>
    </row>
    <row r="11" ht="19.5" customHeight="1">
      <c r="A11" s="12">
        <v>46182.0</v>
      </c>
      <c r="B11" s="13" t="s">
        <v>11</v>
      </c>
      <c r="C11" s="15"/>
      <c r="D11" s="14"/>
      <c r="E11" s="15"/>
      <c r="F11" s="14"/>
      <c r="G11" s="10" t="str">
        <f t="shared" si="5"/>
        <v/>
      </c>
      <c r="H11" s="11" t="str">
        <f t="shared" si="6"/>
        <v/>
      </c>
    </row>
    <row r="12" ht="19.5" customHeight="1">
      <c r="A12" s="22">
        <v>46183.0</v>
      </c>
      <c r="B12" s="23" t="s">
        <v>16</v>
      </c>
      <c r="C12" s="24"/>
      <c r="D12" s="24"/>
      <c r="E12" s="24"/>
      <c r="F12" s="25"/>
      <c r="G12" s="26" t="s">
        <v>17</v>
      </c>
      <c r="H12" s="27" t="s">
        <v>18</v>
      </c>
    </row>
    <row r="13" ht="19.5" customHeight="1">
      <c r="A13" s="12">
        <v>46184.0</v>
      </c>
      <c r="B13" s="13" t="s">
        <v>13</v>
      </c>
      <c r="C13" s="15"/>
      <c r="D13" s="14"/>
      <c r="E13" s="15"/>
      <c r="F13" s="14"/>
      <c r="G13" s="10" t="str">
        <f t="shared" ref="G13:G14" si="7">IF(OR(C13="",D13="",E13="",F13=""),"",(D13-C13)+(F13-E13))</f>
        <v/>
      </c>
      <c r="H13" s="11" t="str">
        <f t="shared" ref="H13:H14" si="8">IF(G13="","",MAX(0,G13-TIME(7,0,0)))</f>
        <v/>
      </c>
    </row>
    <row r="14" ht="19.5" customHeight="1">
      <c r="A14" s="6">
        <v>46185.0</v>
      </c>
      <c r="B14" s="7" t="s">
        <v>14</v>
      </c>
      <c r="C14" s="15"/>
      <c r="D14" s="14"/>
      <c r="E14" s="15"/>
      <c r="F14" s="14"/>
      <c r="G14" s="10" t="str">
        <f t="shared" si="7"/>
        <v/>
      </c>
      <c r="H14" s="11" t="str">
        <f t="shared" si="8"/>
        <v/>
      </c>
    </row>
    <row r="15" ht="21.75" customHeight="1">
      <c r="A15" s="17" t="s">
        <v>19</v>
      </c>
      <c r="B15" s="18"/>
      <c r="C15" s="19"/>
      <c r="D15" s="19"/>
      <c r="E15" s="19"/>
      <c r="F15" s="19"/>
      <c r="G15" s="20">
        <f>SUM(G10:G14)-TIME(7,0,0)</f>
        <v>-0.2916666667</v>
      </c>
      <c r="H15" s="21">
        <f>SUM(H10:H14)</f>
        <v>0</v>
      </c>
    </row>
    <row r="16" ht="19.5" customHeight="1">
      <c r="A16" s="6">
        <v>46188.0</v>
      </c>
      <c r="B16" s="7" t="s">
        <v>10</v>
      </c>
      <c r="C16" s="15"/>
      <c r="D16" s="14"/>
      <c r="E16" s="15"/>
      <c r="F16" s="14"/>
      <c r="G16" s="10" t="str">
        <f t="shared" ref="G16:G20" si="9">IF(OR(C16="",D16="",E16="",F16=""),"",(D16-C16)+(F16-E16))</f>
        <v/>
      </c>
      <c r="H16" s="11" t="str">
        <f t="shared" ref="H16:H20" si="10">IF(G16="","",MAX(0,G16-TIME(7,0,0)))</f>
        <v/>
      </c>
    </row>
    <row r="17" ht="19.5" customHeight="1">
      <c r="A17" s="12">
        <v>46189.0</v>
      </c>
      <c r="B17" s="13" t="s">
        <v>11</v>
      </c>
      <c r="C17" s="15"/>
      <c r="D17" s="14"/>
      <c r="E17" s="15"/>
      <c r="F17" s="14"/>
      <c r="G17" s="10" t="str">
        <f t="shared" si="9"/>
        <v/>
      </c>
      <c r="H17" s="11" t="str">
        <f t="shared" si="10"/>
        <v/>
      </c>
    </row>
    <row r="18" ht="19.5" customHeight="1">
      <c r="A18" s="6">
        <v>46190.0</v>
      </c>
      <c r="B18" s="7" t="s">
        <v>12</v>
      </c>
      <c r="C18" s="15"/>
      <c r="D18" s="14"/>
      <c r="E18" s="15"/>
      <c r="F18" s="14"/>
      <c r="G18" s="10" t="str">
        <f t="shared" si="9"/>
        <v/>
      </c>
      <c r="H18" s="11" t="str">
        <f t="shared" si="10"/>
        <v/>
      </c>
    </row>
    <row r="19" ht="19.5" customHeight="1">
      <c r="A19" s="12">
        <v>46191.0</v>
      </c>
      <c r="B19" s="13" t="s">
        <v>13</v>
      </c>
      <c r="C19" s="15"/>
      <c r="D19" s="14"/>
      <c r="E19" s="15"/>
      <c r="F19" s="14"/>
      <c r="G19" s="10" t="str">
        <f t="shared" si="9"/>
        <v/>
      </c>
      <c r="H19" s="11" t="str">
        <f t="shared" si="10"/>
        <v/>
      </c>
    </row>
    <row r="20" ht="19.5" customHeight="1">
      <c r="A20" s="6">
        <v>46192.0</v>
      </c>
      <c r="B20" s="7" t="s">
        <v>14</v>
      </c>
      <c r="C20" s="15"/>
      <c r="D20" s="14"/>
      <c r="E20" s="15"/>
      <c r="F20" s="14"/>
      <c r="G20" s="10" t="str">
        <f t="shared" si="9"/>
        <v/>
      </c>
      <c r="H20" s="11" t="str">
        <f t="shared" si="10"/>
        <v/>
      </c>
    </row>
    <row r="21" ht="21.75" customHeight="1">
      <c r="A21" s="17" t="s">
        <v>20</v>
      </c>
      <c r="B21" s="18"/>
      <c r="C21" s="19"/>
      <c r="D21" s="19"/>
      <c r="E21" s="19"/>
      <c r="F21" s="19"/>
      <c r="G21" s="20">
        <f t="shared" ref="G21:H21" si="11">SUM(G16:G20)</f>
        <v>0</v>
      </c>
      <c r="H21" s="21">
        <f t="shared" si="11"/>
        <v>0</v>
      </c>
    </row>
    <row r="22" ht="19.5" customHeight="1">
      <c r="A22" s="6">
        <v>46195.0</v>
      </c>
      <c r="B22" s="7" t="s">
        <v>10</v>
      </c>
      <c r="C22" s="15"/>
      <c r="D22" s="14"/>
      <c r="E22" s="15"/>
      <c r="F22" s="14"/>
      <c r="G22" s="10" t="str">
        <f t="shared" ref="G22:G23" si="12">IF(OR(C22="",D22="",E22="",F22=""),"",(D22-C22)+(F22-E22))</f>
        <v/>
      </c>
      <c r="H22" s="11" t="str">
        <f t="shared" ref="H22:H23" si="13">IF(G22="","",MAX(0,G22-TIME(7,0,0)))</f>
        <v/>
      </c>
    </row>
    <row r="23" ht="19.5" customHeight="1">
      <c r="A23" s="12">
        <v>46196.0</v>
      </c>
      <c r="B23" s="13" t="s">
        <v>11</v>
      </c>
      <c r="C23" s="15"/>
      <c r="D23" s="14"/>
      <c r="E23" s="15"/>
      <c r="F23" s="14"/>
      <c r="G23" s="10" t="str">
        <f t="shared" si="12"/>
        <v/>
      </c>
      <c r="H23" s="11" t="str">
        <f t="shared" si="13"/>
        <v/>
      </c>
    </row>
    <row r="24" ht="19.5" customHeight="1">
      <c r="A24" s="22">
        <v>46197.0</v>
      </c>
      <c r="B24" s="23" t="s">
        <v>16</v>
      </c>
      <c r="C24" s="24"/>
      <c r="D24" s="24"/>
      <c r="E24" s="24"/>
      <c r="F24" s="25"/>
      <c r="G24" s="26" t="s">
        <v>17</v>
      </c>
      <c r="H24" s="27" t="s">
        <v>18</v>
      </c>
    </row>
    <row r="25" ht="19.5" customHeight="1">
      <c r="A25" s="12">
        <v>46198.0</v>
      </c>
      <c r="B25" s="13" t="s">
        <v>13</v>
      </c>
      <c r="C25" s="15"/>
      <c r="D25" s="14"/>
      <c r="E25" s="15"/>
      <c r="F25" s="14"/>
      <c r="G25" s="10" t="str">
        <f t="shared" ref="G25:G26" si="14">IF(OR(C25="",D25="",E25="",F25=""),"",(D25-C25)+(F25-E25))</f>
        <v/>
      </c>
      <c r="H25" s="11" t="str">
        <f t="shared" ref="H25:H26" si="15">IF(G25="","",MAX(0,G25-TIME(7,0,0)))</f>
        <v/>
      </c>
    </row>
    <row r="26" ht="19.5" customHeight="1">
      <c r="A26" s="6">
        <v>46199.0</v>
      </c>
      <c r="B26" s="7" t="s">
        <v>14</v>
      </c>
      <c r="C26" s="15"/>
      <c r="D26" s="14"/>
      <c r="E26" s="15"/>
      <c r="F26" s="14"/>
      <c r="G26" s="10" t="str">
        <f t="shared" si="14"/>
        <v/>
      </c>
      <c r="H26" s="11" t="str">
        <f t="shared" si="15"/>
        <v/>
      </c>
    </row>
    <row r="27" ht="21.75" customHeight="1">
      <c r="A27" s="17" t="s">
        <v>21</v>
      </c>
      <c r="B27" s="18"/>
      <c r="C27" s="19"/>
      <c r="D27" s="19"/>
      <c r="E27" s="19"/>
      <c r="F27" s="19"/>
      <c r="G27" s="20">
        <f>SUM(G22:G26)-TIME(7,0,0)</f>
        <v>-0.2916666667</v>
      </c>
      <c r="H27" s="21">
        <f>SUM(H22:H26)</f>
        <v>0</v>
      </c>
    </row>
    <row r="28" ht="19.5" customHeight="1">
      <c r="A28" s="6">
        <v>46202.0</v>
      </c>
      <c r="B28" s="7" t="s">
        <v>10</v>
      </c>
      <c r="C28" s="15"/>
      <c r="D28" s="14"/>
      <c r="E28" s="15"/>
      <c r="F28" s="14"/>
      <c r="G28" s="10" t="str">
        <f t="shared" ref="G28:G29" si="16">IF(OR(C28="",D28="",E28="",F28=""),"",(D28-C28)+(F28-E28))</f>
        <v/>
      </c>
      <c r="H28" s="11" t="str">
        <f t="shared" ref="H28:H29" si="17">IF(G28="","",MAX(0,G28-TIME(7,0,0)))</f>
        <v/>
      </c>
    </row>
    <row r="29" ht="19.5" customHeight="1">
      <c r="A29" s="12">
        <v>46203.0</v>
      </c>
      <c r="B29" s="13" t="s">
        <v>11</v>
      </c>
      <c r="C29" s="15"/>
      <c r="D29" s="14"/>
      <c r="E29" s="15"/>
      <c r="F29" s="14"/>
      <c r="G29" s="10" t="str">
        <f t="shared" si="16"/>
        <v/>
      </c>
      <c r="H29" s="11" t="str">
        <f t="shared" si="17"/>
        <v/>
      </c>
    </row>
    <row r="30" ht="21.75" customHeight="1">
      <c r="A30" s="17" t="s">
        <v>22</v>
      </c>
      <c r="B30" s="18"/>
      <c r="C30" s="19"/>
      <c r="D30" s="19"/>
      <c r="E30" s="19"/>
      <c r="F30" s="19"/>
      <c r="G30" s="20">
        <f t="shared" ref="G30:H30" si="18">SUM(G28:G29)</f>
        <v>0</v>
      </c>
      <c r="H30" s="21">
        <f t="shared" si="18"/>
        <v>0</v>
      </c>
    </row>
    <row r="31" ht="25.5" customHeight="1">
      <c r="A31" s="28" t="s">
        <v>23</v>
      </c>
      <c r="B31" s="29"/>
      <c r="C31" s="29"/>
      <c r="D31" s="29"/>
      <c r="E31" s="29"/>
      <c r="F31" s="30"/>
      <c r="G31" s="31">
        <f t="shared" ref="G31:H31" si="19">G9+G15+G21+G27+G30</f>
        <v>-0.3409722222</v>
      </c>
      <c r="H31" s="32">
        <f t="shared" si="19"/>
        <v>0.07569444444</v>
      </c>
    </row>
    <row r="32" ht="15.75" customHeight="1"/>
    <row r="33" ht="15.75" customHeight="1">
      <c r="A33" s="33" t="s">
        <v>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7:B27"/>
    <mergeCell ref="A30:B30"/>
    <mergeCell ref="A31:F31"/>
    <mergeCell ref="A33:H33"/>
    <mergeCell ref="A1:H1"/>
    <mergeCell ref="A2:H2"/>
    <mergeCell ref="A9:B9"/>
    <mergeCell ref="B12:F12"/>
    <mergeCell ref="A15:B15"/>
    <mergeCell ref="A21:B21"/>
    <mergeCell ref="B24:F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7" width="13.0"/>
    <col customWidth="1" min="8" max="8" width="14.0"/>
    <col customWidth="1" min="9" max="26" width="14.38"/>
  </cols>
  <sheetData>
    <row r="1" ht="31.5" customHeight="1">
      <c r="A1" s="1" t="s">
        <v>25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36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ht="19.5" customHeight="1">
      <c r="A4" s="6">
        <v>46204.0</v>
      </c>
      <c r="B4" s="7" t="s">
        <v>12</v>
      </c>
      <c r="C4" s="15"/>
      <c r="D4" s="14"/>
      <c r="E4" s="15"/>
      <c r="F4" s="14"/>
      <c r="G4" s="10" t="str">
        <f t="shared" ref="G4:G6" si="1">IF(OR(C4="",D4="",E4="",F4=""),"",(D4-C4)+(F4-E4))</f>
        <v/>
      </c>
      <c r="H4" s="11" t="str">
        <f t="shared" ref="H4:H6" si="2">IF(G4="","",MAX(0,G4-TIME(7,0,0)))</f>
        <v/>
      </c>
    </row>
    <row r="5" ht="19.5" customHeight="1">
      <c r="A5" s="12">
        <v>46205.0</v>
      </c>
      <c r="B5" s="13" t="s">
        <v>13</v>
      </c>
      <c r="C5" s="15"/>
      <c r="D5" s="14"/>
      <c r="E5" s="15"/>
      <c r="F5" s="14"/>
      <c r="G5" s="10" t="str">
        <f t="shared" si="1"/>
        <v/>
      </c>
      <c r="H5" s="11" t="str">
        <f t="shared" si="2"/>
        <v/>
      </c>
    </row>
    <row r="6" ht="19.5" customHeight="1">
      <c r="A6" s="6">
        <v>46206.0</v>
      </c>
      <c r="B6" s="7" t="s">
        <v>14</v>
      </c>
      <c r="C6" s="15"/>
      <c r="D6" s="14"/>
      <c r="E6" s="15"/>
      <c r="F6" s="14"/>
      <c r="G6" s="10" t="str">
        <f t="shared" si="1"/>
        <v/>
      </c>
      <c r="H6" s="11" t="str">
        <f t="shared" si="2"/>
        <v/>
      </c>
    </row>
    <row r="7" ht="21.75" customHeight="1">
      <c r="A7" s="17" t="s">
        <v>15</v>
      </c>
      <c r="B7" s="18"/>
      <c r="C7" s="19"/>
      <c r="D7" s="19"/>
      <c r="E7" s="19"/>
      <c r="F7" s="19"/>
      <c r="G7" s="20">
        <f t="shared" ref="G7:H7" si="3">SUM(G4:G6)</f>
        <v>0</v>
      </c>
      <c r="H7" s="21">
        <f t="shared" si="3"/>
        <v>0</v>
      </c>
    </row>
    <row r="8" ht="19.5" customHeight="1">
      <c r="A8" s="6">
        <v>46209.0</v>
      </c>
      <c r="B8" s="7" t="s">
        <v>10</v>
      </c>
      <c r="C8" s="15"/>
      <c r="D8" s="14"/>
      <c r="E8" s="15"/>
      <c r="F8" s="14"/>
      <c r="G8" s="10" t="str">
        <f t="shared" ref="G8:G9" si="4">IF(OR(C8="",D8="",E8="",F8=""),"",(D8-C8)+(F8-E8))</f>
        <v/>
      </c>
      <c r="H8" s="11" t="str">
        <f t="shared" ref="H8:H9" si="5">IF(G8="","",MAX(0,G8-TIME(7,0,0)))</f>
        <v/>
      </c>
    </row>
    <row r="9" ht="19.5" customHeight="1">
      <c r="A9" s="12">
        <v>46210.0</v>
      </c>
      <c r="B9" s="13" t="s">
        <v>11</v>
      </c>
      <c r="C9" s="15"/>
      <c r="D9" s="14"/>
      <c r="E9" s="15"/>
      <c r="F9" s="14"/>
      <c r="G9" s="10" t="str">
        <f t="shared" si="4"/>
        <v/>
      </c>
      <c r="H9" s="11" t="str">
        <f t="shared" si="5"/>
        <v/>
      </c>
    </row>
    <row r="10" ht="19.5" customHeight="1">
      <c r="A10" s="22">
        <v>46211.0</v>
      </c>
      <c r="B10" s="23" t="s">
        <v>16</v>
      </c>
      <c r="C10" s="24"/>
      <c r="D10" s="24"/>
      <c r="E10" s="24"/>
      <c r="F10" s="25"/>
      <c r="G10" s="26" t="s">
        <v>17</v>
      </c>
      <c r="H10" s="27" t="s">
        <v>18</v>
      </c>
    </row>
    <row r="11" ht="19.5" customHeight="1">
      <c r="A11" s="12">
        <v>46212.0</v>
      </c>
      <c r="B11" s="13" t="s">
        <v>13</v>
      </c>
      <c r="C11" s="15"/>
      <c r="D11" s="14"/>
      <c r="E11" s="15"/>
      <c r="F11" s="14"/>
      <c r="G11" s="10" t="str">
        <f t="shared" ref="G11:G12" si="6">IF(OR(C11="",D11="",E11="",F11=""),"",(D11-C11)+(F11-E11))</f>
        <v/>
      </c>
      <c r="H11" s="11" t="str">
        <f t="shared" ref="H11:H12" si="7">IF(G11="","",MAX(0,G11-TIME(7,0,0)))</f>
        <v/>
      </c>
    </row>
    <row r="12" ht="19.5" customHeight="1">
      <c r="A12" s="6">
        <v>46213.0</v>
      </c>
      <c r="B12" s="7" t="s">
        <v>14</v>
      </c>
      <c r="C12" s="15"/>
      <c r="D12" s="14"/>
      <c r="E12" s="15"/>
      <c r="F12" s="14"/>
      <c r="G12" s="10" t="str">
        <f t="shared" si="6"/>
        <v/>
      </c>
      <c r="H12" s="11" t="str">
        <f t="shared" si="7"/>
        <v/>
      </c>
    </row>
    <row r="13" ht="21.75" customHeight="1">
      <c r="A13" s="17" t="s">
        <v>19</v>
      </c>
      <c r="B13" s="18"/>
      <c r="C13" s="19"/>
      <c r="D13" s="19"/>
      <c r="E13" s="19"/>
      <c r="F13" s="19"/>
      <c r="G13" s="20">
        <f>SUM(G8:G12)-TIME(7,0,0)</f>
        <v>-0.2916666667</v>
      </c>
      <c r="H13" s="21">
        <f>SUM(H8:H12)</f>
        <v>0</v>
      </c>
    </row>
    <row r="14" ht="19.5" customHeight="1">
      <c r="A14" s="6">
        <v>46216.0</v>
      </c>
      <c r="B14" s="7" t="s">
        <v>10</v>
      </c>
      <c r="C14" s="15"/>
      <c r="D14" s="14"/>
      <c r="E14" s="15"/>
      <c r="F14" s="14"/>
      <c r="G14" s="10" t="str">
        <f t="shared" ref="G14:G18" si="8">IF(OR(C14="",D14="",E14="",F14=""),"",(D14-C14)+(F14-E14))</f>
        <v/>
      </c>
      <c r="H14" s="11" t="str">
        <f t="shared" ref="H14:H18" si="9">IF(G14="","",MAX(0,G14-TIME(7,0,0)))</f>
        <v/>
      </c>
    </row>
    <row r="15" ht="19.5" customHeight="1">
      <c r="A15" s="12">
        <v>46217.0</v>
      </c>
      <c r="B15" s="13" t="s">
        <v>11</v>
      </c>
      <c r="C15" s="15"/>
      <c r="D15" s="14"/>
      <c r="E15" s="15"/>
      <c r="F15" s="14"/>
      <c r="G15" s="10" t="str">
        <f t="shared" si="8"/>
        <v/>
      </c>
      <c r="H15" s="11" t="str">
        <f t="shared" si="9"/>
        <v/>
      </c>
    </row>
    <row r="16" ht="19.5" customHeight="1">
      <c r="A16" s="6">
        <v>46218.0</v>
      </c>
      <c r="B16" s="7" t="s">
        <v>12</v>
      </c>
      <c r="C16" s="15"/>
      <c r="D16" s="14"/>
      <c r="E16" s="15"/>
      <c r="F16" s="14"/>
      <c r="G16" s="10" t="str">
        <f t="shared" si="8"/>
        <v/>
      </c>
      <c r="H16" s="11" t="str">
        <f t="shared" si="9"/>
        <v/>
      </c>
    </row>
    <row r="17" ht="19.5" customHeight="1">
      <c r="A17" s="12">
        <v>46219.0</v>
      </c>
      <c r="B17" s="13" t="s">
        <v>13</v>
      </c>
      <c r="C17" s="15"/>
      <c r="D17" s="14"/>
      <c r="E17" s="15"/>
      <c r="F17" s="14"/>
      <c r="G17" s="10" t="str">
        <f t="shared" si="8"/>
        <v/>
      </c>
      <c r="H17" s="11" t="str">
        <f t="shared" si="9"/>
        <v/>
      </c>
    </row>
    <row r="18" ht="19.5" customHeight="1">
      <c r="A18" s="6">
        <v>46220.0</v>
      </c>
      <c r="B18" s="7" t="s">
        <v>14</v>
      </c>
      <c r="C18" s="15"/>
      <c r="D18" s="14"/>
      <c r="E18" s="15"/>
      <c r="F18" s="14"/>
      <c r="G18" s="10" t="str">
        <f t="shared" si="8"/>
        <v/>
      </c>
      <c r="H18" s="11" t="str">
        <f t="shared" si="9"/>
        <v/>
      </c>
    </row>
    <row r="19" ht="21.75" customHeight="1">
      <c r="A19" s="17" t="s">
        <v>20</v>
      </c>
      <c r="B19" s="18"/>
      <c r="C19" s="19"/>
      <c r="D19" s="19"/>
      <c r="E19" s="19"/>
      <c r="F19" s="19"/>
      <c r="G19" s="20">
        <f t="shared" ref="G19:H19" si="10">SUM(G14:G18)</f>
        <v>0</v>
      </c>
      <c r="H19" s="21">
        <f t="shared" si="10"/>
        <v>0</v>
      </c>
    </row>
    <row r="20" ht="19.5" customHeight="1">
      <c r="A20" s="6">
        <v>46223.0</v>
      </c>
      <c r="B20" s="7" t="s">
        <v>10</v>
      </c>
      <c r="C20" s="15"/>
      <c r="D20" s="14"/>
      <c r="E20" s="15"/>
      <c r="F20" s="14"/>
      <c r="G20" s="10" t="str">
        <f t="shared" ref="G20:G21" si="11">IF(OR(C20="",D20="",E20="",F20=""),"",(D20-C20)+(F20-E20))</f>
        <v/>
      </c>
      <c r="H20" s="11" t="str">
        <f t="shared" ref="H20:H21" si="12">IF(G20="","",MAX(0,G20-TIME(7,0,0)))</f>
        <v/>
      </c>
    </row>
    <row r="21" ht="19.5" customHeight="1">
      <c r="A21" s="12">
        <v>46224.0</v>
      </c>
      <c r="B21" s="13" t="s">
        <v>11</v>
      </c>
      <c r="C21" s="15"/>
      <c r="D21" s="14"/>
      <c r="E21" s="15"/>
      <c r="F21" s="14"/>
      <c r="G21" s="10" t="str">
        <f t="shared" si="11"/>
        <v/>
      </c>
      <c r="H21" s="11" t="str">
        <f t="shared" si="12"/>
        <v/>
      </c>
    </row>
    <row r="22" ht="19.5" customHeight="1">
      <c r="A22" s="22">
        <v>46225.0</v>
      </c>
      <c r="B22" s="23" t="s">
        <v>16</v>
      </c>
      <c r="C22" s="24"/>
      <c r="D22" s="24"/>
      <c r="E22" s="24"/>
      <c r="F22" s="25"/>
      <c r="G22" s="26" t="s">
        <v>17</v>
      </c>
      <c r="H22" s="27" t="s">
        <v>18</v>
      </c>
    </row>
    <row r="23" ht="19.5" customHeight="1">
      <c r="A23" s="12">
        <v>46226.0</v>
      </c>
      <c r="B23" s="13" t="s">
        <v>13</v>
      </c>
      <c r="C23" s="15"/>
      <c r="D23" s="14"/>
      <c r="E23" s="15"/>
      <c r="F23" s="14"/>
      <c r="G23" s="10" t="str">
        <f t="shared" ref="G23:G24" si="13">IF(OR(C23="",D23="",E23="",F23=""),"",(D23-C23)+(F23-E23))</f>
        <v/>
      </c>
      <c r="H23" s="11" t="str">
        <f t="shared" ref="H23:H24" si="14">IF(G23="","",MAX(0,G23-TIME(7,0,0)))</f>
        <v/>
      </c>
    </row>
    <row r="24" ht="19.5" customHeight="1">
      <c r="A24" s="6">
        <v>46227.0</v>
      </c>
      <c r="B24" s="7" t="s">
        <v>14</v>
      </c>
      <c r="C24" s="15"/>
      <c r="D24" s="14"/>
      <c r="E24" s="15"/>
      <c r="F24" s="14"/>
      <c r="G24" s="10" t="str">
        <f t="shared" si="13"/>
        <v/>
      </c>
      <c r="H24" s="11" t="str">
        <f t="shared" si="14"/>
        <v/>
      </c>
    </row>
    <row r="25" ht="21.75" customHeight="1">
      <c r="A25" s="17" t="s">
        <v>21</v>
      </c>
      <c r="B25" s="18"/>
      <c r="C25" s="19"/>
      <c r="D25" s="19"/>
      <c r="E25" s="19"/>
      <c r="F25" s="19"/>
      <c r="G25" s="20">
        <f>SUM(G20:G24)-TIME(7,0,0)</f>
        <v>-0.2916666667</v>
      </c>
      <c r="H25" s="21">
        <f>SUM(H20:H24)</f>
        <v>0</v>
      </c>
    </row>
    <row r="26" ht="19.5" customHeight="1">
      <c r="A26" s="6">
        <v>46230.0</v>
      </c>
      <c r="B26" s="7" t="s">
        <v>10</v>
      </c>
      <c r="C26" s="15"/>
      <c r="D26" s="14"/>
      <c r="E26" s="15"/>
      <c r="F26" s="14"/>
      <c r="G26" s="10" t="str">
        <f t="shared" ref="G26:G30" si="15">IF(OR(C26="",D26="",E26="",F26=""),"",(D26-C26)+(F26-E26))</f>
        <v/>
      </c>
      <c r="H26" s="11" t="str">
        <f t="shared" ref="H26:H30" si="16">IF(G26="","",MAX(0,G26-TIME(7,0,0)))</f>
        <v/>
      </c>
    </row>
    <row r="27" ht="19.5" customHeight="1">
      <c r="A27" s="12">
        <v>46231.0</v>
      </c>
      <c r="B27" s="13" t="s">
        <v>11</v>
      </c>
      <c r="C27" s="15"/>
      <c r="D27" s="14"/>
      <c r="E27" s="15"/>
      <c r="F27" s="14"/>
      <c r="G27" s="10" t="str">
        <f t="shared" si="15"/>
        <v/>
      </c>
      <c r="H27" s="11" t="str">
        <f t="shared" si="16"/>
        <v/>
      </c>
    </row>
    <row r="28" ht="19.5" customHeight="1">
      <c r="A28" s="6">
        <v>46232.0</v>
      </c>
      <c r="B28" s="7" t="s">
        <v>12</v>
      </c>
      <c r="C28" s="15"/>
      <c r="D28" s="14"/>
      <c r="E28" s="15"/>
      <c r="F28" s="14"/>
      <c r="G28" s="10" t="str">
        <f t="shared" si="15"/>
        <v/>
      </c>
      <c r="H28" s="11" t="str">
        <f t="shared" si="16"/>
        <v/>
      </c>
    </row>
    <row r="29" ht="19.5" customHeight="1">
      <c r="A29" s="12">
        <v>46233.0</v>
      </c>
      <c r="B29" s="13" t="s">
        <v>13</v>
      </c>
      <c r="C29" s="15"/>
      <c r="D29" s="14"/>
      <c r="E29" s="15"/>
      <c r="F29" s="14"/>
      <c r="G29" s="10" t="str">
        <f t="shared" si="15"/>
        <v/>
      </c>
      <c r="H29" s="11" t="str">
        <f t="shared" si="16"/>
        <v/>
      </c>
    </row>
    <row r="30" ht="19.5" customHeight="1">
      <c r="A30" s="6">
        <v>46234.0</v>
      </c>
      <c r="B30" s="7" t="s">
        <v>14</v>
      </c>
      <c r="C30" s="15"/>
      <c r="D30" s="14"/>
      <c r="E30" s="15"/>
      <c r="F30" s="14"/>
      <c r="G30" s="10" t="str">
        <f t="shared" si="15"/>
        <v/>
      </c>
      <c r="H30" s="11" t="str">
        <f t="shared" si="16"/>
        <v/>
      </c>
    </row>
    <row r="31" ht="21.75" customHeight="1">
      <c r="A31" s="17" t="s">
        <v>22</v>
      </c>
      <c r="B31" s="18"/>
      <c r="C31" s="19"/>
      <c r="D31" s="19"/>
      <c r="E31" s="19"/>
      <c r="F31" s="19"/>
      <c r="G31" s="20">
        <f t="shared" ref="G31:H31" si="17">SUM(G26:G30)</f>
        <v>0</v>
      </c>
      <c r="H31" s="21">
        <f t="shared" si="17"/>
        <v>0</v>
      </c>
    </row>
    <row r="32" ht="25.5" customHeight="1">
      <c r="A32" s="28" t="s">
        <v>26</v>
      </c>
      <c r="B32" s="29"/>
      <c r="C32" s="29"/>
      <c r="D32" s="29"/>
      <c r="E32" s="29"/>
      <c r="F32" s="30"/>
      <c r="G32" s="31">
        <f t="shared" ref="G32:H32" si="18">G7+G13+G19+G25+G31</f>
        <v>-0.5833333333</v>
      </c>
      <c r="H32" s="32">
        <f t="shared" si="18"/>
        <v>0</v>
      </c>
    </row>
    <row r="33" ht="15.75" customHeight="1"/>
    <row r="34" ht="15.75" customHeight="1">
      <c r="A34" s="33" t="s">
        <v>24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5:B25"/>
    <mergeCell ref="A31:B31"/>
    <mergeCell ref="A32:F32"/>
    <mergeCell ref="A34:H34"/>
    <mergeCell ref="A1:H1"/>
    <mergeCell ref="A2:H2"/>
    <mergeCell ref="A7:B7"/>
    <mergeCell ref="B10:F10"/>
    <mergeCell ref="A13:B13"/>
    <mergeCell ref="A19:B19"/>
    <mergeCell ref="B22:F2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7" width="13.0"/>
    <col customWidth="1" min="8" max="8" width="14.0"/>
    <col customWidth="1" min="9" max="26" width="14.38"/>
  </cols>
  <sheetData>
    <row r="1" ht="31.5" customHeight="1">
      <c r="A1" s="1" t="s">
        <v>27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36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ht="19.5" customHeight="1">
      <c r="A4" s="6">
        <v>46237.0</v>
      </c>
      <c r="B4" s="7" t="s">
        <v>10</v>
      </c>
      <c r="C4" s="15"/>
      <c r="D4" s="14"/>
      <c r="E4" s="15"/>
      <c r="F4" s="14"/>
      <c r="G4" s="10" t="str">
        <f t="shared" ref="G4:G5" si="1">IF(OR(C4="",D4="",E4="",F4=""),"",(D4-C4)+(F4-E4))</f>
        <v/>
      </c>
      <c r="H4" s="11" t="str">
        <f t="shared" ref="H4:H5" si="2">IF(G4="","",MAX(0,G4-TIME(7,0,0)))</f>
        <v/>
      </c>
    </row>
    <row r="5" ht="19.5" customHeight="1">
      <c r="A5" s="12">
        <v>46238.0</v>
      </c>
      <c r="B5" s="13" t="s">
        <v>11</v>
      </c>
      <c r="C5" s="15"/>
      <c r="D5" s="14"/>
      <c r="E5" s="15"/>
      <c r="F5" s="14"/>
      <c r="G5" s="10" t="str">
        <f t="shared" si="1"/>
        <v/>
      </c>
      <c r="H5" s="11" t="str">
        <f t="shared" si="2"/>
        <v/>
      </c>
    </row>
    <row r="6" ht="19.5" customHeight="1">
      <c r="A6" s="22">
        <v>46239.0</v>
      </c>
      <c r="B6" s="23" t="s">
        <v>16</v>
      </c>
      <c r="C6" s="24"/>
      <c r="D6" s="24"/>
      <c r="E6" s="24"/>
      <c r="F6" s="25"/>
      <c r="G6" s="26" t="s">
        <v>17</v>
      </c>
      <c r="H6" s="27" t="s">
        <v>18</v>
      </c>
    </row>
    <row r="7" ht="19.5" customHeight="1">
      <c r="A7" s="12">
        <v>46240.0</v>
      </c>
      <c r="B7" s="13" t="s">
        <v>13</v>
      </c>
      <c r="C7" s="15"/>
      <c r="D7" s="14"/>
      <c r="E7" s="15"/>
      <c r="F7" s="14"/>
      <c r="G7" s="10" t="str">
        <f t="shared" ref="G7:G8" si="3">IF(OR(C7="",D7="",E7="",F7=""),"",(D7-C7)+(F7-E7))</f>
        <v/>
      </c>
      <c r="H7" s="11" t="str">
        <f t="shared" ref="H7:H8" si="4">IF(G7="","",MAX(0,G7-TIME(7,0,0)))</f>
        <v/>
      </c>
    </row>
    <row r="8" ht="19.5" customHeight="1">
      <c r="A8" s="6">
        <v>46241.0</v>
      </c>
      <c r="B8" s="7" t="s">
        <v>14</v>
      </c>
      <c r="C8" s="15"/>
      <c r="D8" s="14"/>
      <c r="E8" s="15"/>
      <c r="F8" s="14"/>
      <c r="G8" s="10" t="str">
        <f t="shared" si="3"/>
        <v/>
      </c>
      <c r="H8" s="11" t="str">
        <f t="shared" si="4"/>
        <v/>
      </c>
    </row>
    <row r="9" ht="21.75" customHeight="1">
      <c r="A9" s="17" t="s">
        <v>15</v>
      </c>
      <c r="B9" s="18"/>
      <c r="C9" s="19"/>
      <c r="D9" s="19"/>
      <c r="E9" s="19"/>
      <c r="F9" s="19"/>
      <c r="G9" s="20">
        <f>SUM(G4:G8)-TIME(7,0,0)</f>
        <v>-0.2916666667</v>
      </c>
      <c r="H9" s="21">
        <f>SUM(H4:H8)</f>
        <v>0</v>
      </c>
    </row>
    <row r="10" ht="19.5" customHeight="1">
      <c r="A10" s="6">
        <v>46244.0</v>
      </c>
      <c r="B10" s="7" t="s">
        <v>10</v>
      </c>
      <c r="C10" s="15"/>
      <c r="D10" s="14"/>
      <c r="E10" s="15"/>
      <c r="F10" s="14"/>
      <c r="G10" s="10" t="str">
        <f t="shared" ref="G10:G14" si="5">IF(OR(C10="",D10="",E10="",F10=""),"",(D10-C10)+(F10-E10))</f>
        <v/>
      </c>
      <c r="H10" s="11" t="str">
        <f t="shared" ref="H10:H14" si="6">IF(G10="","",MAX(0,G10-TIME(7,0,0)))</f>
        <v/>
      </c>
    </row>
    <row r="11" ht="19.5" customHeight="1">
      <c r="A11" s="12">
        <v>46245.0</v>
      </c>
      <c r="B11" s="13" t="s">
        <v>11</v>
      </c>
      <c r="C11" s="15"/>
      <c r="D11" s="14"/>
      <c r="E11" s="15"/>
      <c r="F11" s="14"/>
      <c r="G11" s="10" t="str">
        <f t="shared" si="5"/>
        <v/>
      </c>
      <c r="H11" s="11" t="str">
        <f t="shared" si="6"/>
        <v/>
      </c>
    </row>
    <row r="12" ht="19.5" customHeight="1">
      <c r="A12" s="6">
        <v>46246.0</v>
      </c>
      <c r="B12" s="7" t="s">
        <v>12</v>
      </c>
      <c r="C12" s="15"/>
      <c r="D12" s="14"/>
      <c r="E12" s="15"/>
      <c r="F12" s="14"/>
      <c r="G12" s="10" t="str">
        <f t="shared" si="5"/>
        <v/>
      </c>
      <c r="H12" s="11" t="str">
        <f t="shared" si="6"/>
        <v/>
      </c>
    </row>
    <row r="13" ht="19.5" customHeight="1">
      <c r="A13" s="12">
        <v>46247.0</v>
      </c>
      <c r="B13" s="13" t="s">
        <v>13</v>
      </c>
      <c r="C13" s="15"/>
      <c r="D13" s="14"/>
      <c r="E13" s="15"/>
      <c r="F13" s="14"/>
      <c r="G13" s="10" t="str">
        <f t="shared" si="5"/>
        <v/>
      </c>
      <c r="H13" s="11" t="str">
        <f t="shared" si="6"/>
        <v/>
      </c>
    </row>
    <row r="14" ht="19.5" customHeight="1">
      <c r="A14" s="6">
        <v>46248.0</v>
      </c>
      <c r="B14" s="7" t="s">
        <v>14</v>
      </c>
      <c r="C14" s="15"/>
      <c r="D14" s="14"/>
      <c r="E14" s="15"/>
      <c r="F14" s="14"/>
      <c r="G14" s="10" t="str">
        <f t="shared" si="5"/>
        <v/>
      </c>
      <c r="H14" s="11" t="str">
        <f t="shared" si="6"/>
        <v/>
      </c>
    </row>
    <row r="15" ht="21.75" customHeight="1">
      <c r="A15" s="17" t="s">
        <v>19</v>
      </c>
      <c r="B15" s="18"/>
      <c r="C15" s="19"/>
      <c r="D15" s="19"/>
      <c r="E15" s="19"/>
      <c r="F15" s="19"/>
      <c r="G15" s="20">
        <f t="shared" ref="G15:H15" si="7">SUM(G10:G14)</f>
        <v>0</v>
      </c>
      <c r="H15" s="21">
        <f t="shared" si="7"/>
        <v>0</v>
      </c>
    </row>
    <row r="16" ht="19.5" customHeight="1">
      <c r="A16" s="6">
        <v>46251.0</v>
      </c>
      <c r="B16" s="7" t="s">
        <v>10</v>
      </c>
      <c r="C16" s="15"/>
      <c r="D16" s="14"/>
      <c r="E16" s="15"/>
      <c r="F16" s="14"/>
      <c r="G16" s="10" t="str">
        <f t="shared" ref="G16:G17" si="8">IF(OR(C16="",D16="",E16="",F16=""),"",(D16-C16)+(F16-E16))</f>
        <v/>
      </c>
      <c r="H16" s="11" t="str">
        <f t="shared" ref="H16:H17" si="9">IF(G16="","",MAX(0,G16-TIME(7,0,0)))</f>
        <v/>
      </c>
    </row>
    <row r="17" ht="19.5" customHeight="1">
      <c r="A17" s="12">
        <v>46252.0</v>
      </c>
      <c r="B17" s="13" t="s">
        <v>11</v>
      </c>
      <c r="C17" s="15"/>
      <c r="D17" s="14"/>
      <c r="E17" s="15"/>
      <c r="F17" s="14"/>
      <c r="G17" s="10" t="str">
        <f t="shared" si="8"/>
        <v/>
      </c>
      <c r="H17" s="11" t="str">
        <f t="shared" si="9"/>
        <v/>
      </c>
    </row>
    <row r="18" ht="19.5" customHeight="1">
      <c r="A18" s="22">
        <v>46253.0</v>
      </c>
      <c r="B18" s="23" t="s">
        <v>16</v>
      </c>
      <c r="C18" s="24"/>
      <c r="D18" s="24"/>
      <c r="E18" s="24"/>
      <c r="F18" s="25"/>
      <c r="G18" s="26" t="s">
        <v>17</v>
      </c>
      <c r="H18" s="27" t="s">
        <v>18</v>
      </c>
    </row>
    <row r="19" ht="19.5" customHeight="1">
      <c r="A19" s="12">
        <v>46254.0</v>
      </c>
      <c r="B19" s="13" t="s">
        <v>13</v>
      </c>
      <c r="C19" s="15"/>
      <c r="D19" s="14"/>
      <c r="E19" s="15"/>
      <c r="F19" s="14"/>
      <c r="G19" s="10" t="str">
        <f t="shared" ref="G19:G20" si="10">IF(OR(C19="",D19="",E19="",F19=""),"",(D19-C19)+(F19-E19))</f>
        <v/>
      </c>
      <c r="H19" s="11" t="str">
        <f t="shared" ref="H19:H20" si="11">IF(G19="","",MAX(0,G19-TIME(7,0,0)))</f>
        <v/>
      </c>
    </row>
    <row r="20" ht="19.5" customHeight="1">
      <c r="A20" s="6">
        <v>46255.0</v>
      </c>
      <c r="B20" s="7" t="s">
        <v>14</v>
      </c>
      <c r="C20" s="15"/>
      <c r="D20" s="14"/>
      <c r="E20" s="15"/>
      <c r="F20" s="14"/>
      <c r="G20" s="10" t="str">
        <f t="shared" si="10"/>
        <v/>
      </c>
      <c r="H20" s="11" t="str">
        <f t="shared" si="11"/>
        <v/>
      </c>
    </row>
    <row r="21" ht="21.75" customHeight="1">
      <c r="A21" s="17" t="s">
        <v>20</v>
      </c>
      <c r="B21" s="18"/>
      <c r="C21" s="19"/>
      <c r="D21" s="19"/>
      <c r="E21" s="19"/>
      <c r="F21" s="19"/>
      <c r="G21" s="20">
        <f>SUM(G16:G20)-TIME(7,0,0)</f>
        <v>-0.2916666667</v>
      </c>
      <c r="H21" s="21">
        <f>SUM(H16:H20)</f>
        <v>0</v>
      </c>
    </row>
    <row r="22" ht="19.5" customHeight="1">
      <c r="A22" s="6">
        <v>46258.0</v>
      </c>
      <c r="B22" s="7" t="s">
        <v>10</v>
      </c>
      <c r="C22" s="15"/>
      <c r="D22" s="14"/>
      <c r="E22" s="15"/>
      <c r="F22" s="14"/>
      <c r="G22" s="10" t="str">
        <f t="shared" ref="G22:G26" si="12">IF(OR(C22="",D22="",E22="",F22=""),"",(D22-C22)+(F22-E22))</f>
        <v/>
      </c>
      <c r="H22" s="11" t="str">
        <f t="shared" ref="H22:H26" si="13">IF(G22="","",MAX(0,G22-TIME(7,0,0)))</f>
        <v/>
      </c>
    </row>
    <row r="23" ht="19.5" customHeight="1">
      <c r="A23" s="12">
        <v>46259.0</v>
      </c>
      <c r="B23" s="13" t="s">
        <v>11</v>
      </c>
      <c r="C23" s="15"/>
      <c r="D23" s="14"/>
      <c r="E23" s="15"/>
      <c r="F23" s="14"/>
      <c r="G23" s="10" t="str">
        <f t="shared" si="12"/>
        <v/>
      </c>
      <c r="H23" s="11" t="str">
        <f t="shared" si="13"/>
        <v/>
      </c>
    </row>
    <row r="24" ht="19.5" customHeight="1">
      <c r="A24" s="6">
        <v>46260.0</v>
      </c>
      <c r="B24" s="7" t="s">
        <v>12</v>
      </c>
      <c r="C24" s="15"/>
      <c r="D24" s="14"/>
      <c r="E24" s="15"/>
      <c r="F24" s="14"/>
      <c r="G24" s="10" t="str">
        <f t="shared" si="12"/>
        <v/>
      </c>
      <c r="H24" s="11" t="str">
        <f t="shared" si="13"/>
        <v/>
      </c>
    </row>
    <row r="25" ht="19.5" customHeight="1">
      <c r="A25" s="12">
        <v>46261.0</v>
      </c>
      <c r="B25" s="13" t="s">
        <v>13</v>
      </c>
      <c r="C25" s="15"/>
      <c r="D25" s="14"/>
      <c r="E25" s="15"/>
      <c r="F25" s="14"/>
      <c r="G25" s="10" t="str">
        <f t="shared" si="12"/>
        <v/>
      </c>
      <c r="H25" s="11" t="str">
        <f t="shared" si="13"/>
        <v/>
      </c>
    </row>
    <row r="26" ht="19.5" customHeight="1">
      <c r="A26" s="6">
        <v>46262.0</v>
      </c>
      <c r="B26" s="7" t="s">
        <v>14</v>
      </c>
      <c r="C26" s="15"/>
      <c r="D26" s="14"/>
      <c r="E26" s="15"/>
      <c r="F26" s="14"/>
      <c r="G26" s="10" t="str">
        <f t="shared" si="12"/>
        <v/>
      </c>
      <c r="H26" s="11" t="str">
        <f t="shared" si="13"/>
        <v/>
      </c>
    </row>
    <row r="27" ht="21.75" customHeight="1">
      <c r="A27" s="17" t="s">
        <v>21</v>
      </c>
      <c r="B27" s="18"/>
      <c r="C27" s="19"/>
      <c r="D27" s="19"/>
      <c r="E27" s="19"/>
      <c r="F27" s="19"/>
      <c r="G27" s="20">
        <f t="shared" ref="G27:H27" si="14">SUM(G22:G26)</f>
        <v>0</v>
      </c>
      <c r="H27" s="21">
        <f t="shared" si="14"/>
        <v>0</v>
      </c>
    </row>
    <row r="28" ht="19.5" customHeight="1">
      <c r="A28" s="6">
        <v>46265.0</v>
      </c>
      <c r="B28" s="7" t="s">
        <v>10</v>
      </c>
      <c r="C28" s="15"/>
      <c r="D28" s="14"/>
      <c r="E28" s="15"/>
      <c r="F28" s="14"/>
      <c r="G28" s="10" t="str">
        <f>IF(OR(C28="",D28="",E28="",F28=""),"",(D28-C28)+(F28-E28))</f>
        <v/>
      </c>
      <c r="H28" s="11" t="str">
        <f>IF(G28="","",MAX(0,G28-TIME(7,0,0)))</f>
        <v/>
      </c>
    </row>
    <row r="29" ht="21.75" customHeight="1">
      <c r="A29" s="17" t="s">
        <v>22</v>
      </c>
      <c r="B29" s="18"/>
      <c r="C29" s="19"/>
      <c r="D29" s="19"/>
      <c r="E29" s="19"/>
      <c r="F29" s="19"/>
      <c r="G29" s="20">
        <f t="shared" ref="G29:H29" si="15">SUM(G28)</f>
        <v>0</v>
      </c>
      <c r="H29" s="21">
        <f t="shared" si="15"/>
        <v>0</v>
      </c>
    </row>
    <row r="30" ht="25.5" customHeight="1">
      <c r="A30" s="28" t="s">
        <v>28</v>
      </c>
      <c r="B30" s="29"/>
      <c r="C30" s="29"/>
      <c r="D30" s="29"/>
      <c r="E30" s="29"/>
      <c r="F30" s="30"/>
      <c r="G30" s="31">
        <f t="shared" ref="G30:H30" si="16">G9+G15+G21+G27+G29</f>
        <v>-0.5833333333</v>
      </c>
      <c r="H30" s="32">
        <f t="shared" si="16"/>
        <v>0</v>
      </c>
    </row>
    <row r="31" ht="15.75" customHeight="1"/>
    <row r="32" ht="15.75" customHeight="1">
      <c r="A32" s="33" t="s">
        <v>24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7:B27"/>
    <mergeCell ref="A29:B29"/>
    <mergeCell ref="A30:F30"/>
    <mergeCell ref="A32:H32"/>
    <mergeCell ref="A1:H1"/>
    <mergeCell ref="A2:H2"/>
    <mergeCell ref="B6:F6"/>
    <mergeCell ref="A9:B9"/>
    <mergeCell ref="A15:B15"/>
    <mergeCell ref="B18:F18"/>
    <mergeCell ref="A21:B2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7" width="13.0"/>
    <col customWidth="1" min="8" max="8" width="14.0"/>
    <col customWidth="1" min="9" max="26" width="14.38"/>
  </cols>
  <sheetData>
    <row r="1" ht="31.5" customHeight="1">
      <c r="A1" s="1" t="s">
        <v>29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36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ht="19.5" customHeight="1">
      <c r="A4" s="6">
        <v>46266.0</v>
      </c>
      <c r="B4" s="7" t="s">
        <v>11</v>
      </c>
      <c r="C4" s="15"/>
      <c r="D4" s="14"/>
      <c r="E4" s="15"/>
      <c r="F4" s="14"/>
      <c r="G4" s="10" t="str">
        <f>IF(OR(C4="",D4="",E4="",F4=""),"",(D4-C4)+(F4-E4))</f>
        <v/>
      </c>
      <c r="H4" s="11" t="str">
        <f>IF(G4="","",MAX(0,G4-TIME(7,0,0)))</f>
        <v/>
      </c>
    </row>
    <row r="5" ht="19.5" customHeight="1">
      <c r="A5" s="22">
        <v>46267.0</v>
      </c>
      <c r="B5" s="23" t="s">
        <v>16</v>
      </c>
      <c r="C5" s="24"/>
      <c r="D5" s="24"/>
      <c r="E5" s="24"/>
      <c r="F5" s="25"/>
      <c r="G5" s="26" t="s">
        <v>17</v>
      </c>
      <c r="H5" s="27" t="s">
        <v>18</v>
      </c>
    </row>
    <row r="6" ht="19.5" customHeight="1">
      <c r="A6" s="6">
        <v>46268.0</v>
      </c>
      <c r="B6" s="7" t="s">
        <v>13</v>
      </c>
      <c r="C6" s="15"/>
      <c r="D6" s="14"/>
      <c r="E6" s="15"/>
      <c r="F6" s="14"/>
      <c r="G6" s="10" t="str">
        <f t="shared" ref="G6:G7" si="1">IF(OR(C6="",D6="",E6="",F6=""),"",(D6-C6)+(F6-E6))</f>
        <v/>
      </c>
      <c r="H6" s="11" t="str">
        <f t="shared" ref="H6:H7" si="2">IF(G6="","",MAX(0,G6-TIME(7,0,0)))</f>
        <v/>
      </c>
    </row>
    <row r="7" ht="19.5" customHeight="1">
      <c r="A7" s="12">
        <v>46269.0</v>
      </c>
      <c r="B7" s="13" t="s">
        <v>14</v>
      </c>
      <c r="C7" s="15"/>
      <c r="D7" s="14"/>
      <c r="E7" s="15"/>
      <c r="F7" s="14"/>
      <c r="G7" s="10" t="str">
        <f t="shared" si="1"/>
        <v/>
      </c>
      <c r="H7" s="11" t="str">
        <f t="shared" si="2"/>
        <v/>
      </c>
    </row>
    <row r="8" ht="21.75" customHeight="1">
      <c r="A8" s="17" t="s">
        <v>15</v>
      </c>
      <c r="B8" s="18"/>
      <c r="C8" s="19"/>
      <c r="D8" s="19"/>
      <c r="E8" s="19"/>
      <c r="F8" s="19"/>
      <c r="G8" s="20">
        <f>SUM(G4:G7)-TIME(7,0,0)</f>
        <v>-0.2916666667</v>
      </c>
      <c r="H8" s="21">
        <f>SUM(H4:H7)</f>
        <v>0</v>
      </c>
    </row>
    <row r="9" ht="19.5" customHeight="1">
      <c r="A9" s="6">
        <v>46272.0</v>
      </c>
      <c r="B9" s="7" t="s">
        <v>10</v>
      </c>
      <c r="C9" s="15"/>
      <c r="D9" s="14"/>
      <c r="E9" s="15"/>
      <c r="F9" s="14"/>
      <c r="G9" s="10" t="str">
        <f t="shared" ref="G9:G13" si="3">IF(OR(C9="",D9="",E9="",F9=""),"",(D9-C9)+(F9-E9))</f>
        <v/>
      </c>
      <c r="H9" s="11" t="str">
        <f t="shared" ref="H9:H13" si="4">IF(G9="","",MAX(0,G9-TIME(7,0,0)))</f>
        <v/>
      </c>
    </row>
    <row r="10" ht="19.5" customHeight="1">
      <c r="A10" s="12">
        <v>46273.0</v>
      </c>
      <c r="B10" s="13" t="s">
        <v>11</v>
      </c>
      <c r="C10" s="15"/>
      <c r="D10" s="14"/>
      <c r="E10" s="15"/>
      <c r="F10" s="14"/>
      <c r="G10" s="10" t="str">
        <f t="shared" si="3"/>
        <v/>
      </c>
      <c r="H10" s="11" t="str">
        <f t="shared" si="4"/>
        <v/>
      </c>
    </row>
    <row r="11" ht="19.5" customHeight="1">
      <c r="A11" s="6">
        <v>46274.0</v>
      </c>
      <c r="B11" s="7" t="s">
        <v>12</v>
      </c>
      <c r="C11" s="15"/>
      <c r="D11" s="14"/>
      <c r="E11" s="15"/>
      <c r="F11" s="14"/>
      <c r="G11" s="10" t="str">
        <f t="shared" si="3"/>
        <v/>
      </c>
      <c r="H11" s="11" t="str">
        <f t="shared" si="4"/>
        <v/>
      </c>
    </row>
    <row r="12" ht="19.5" customHeight="1">
      <c r="A12" s="12">
        <v>46275.0</v>
      </c>
      <c r="B12" s="13" t="s">
        <v>13</v>
      </c>
      <c r="C12" s="15"/>
      <c r="D12" s="14"/>
      <c r="E12" s="15"/>
      <c r="F12" s="14"/>
      <c r="G12" s="10" t="str">
        <f t="shared" si="3"/>
        <v/>
      </c>
      <c r="H12" s="11" t="str">
        <f t="shared" si="4"/>
        <v/>
      </c>
    </row>
    <row r="13" ht="19.5" customHeight="1">
      <c r="A13" s="6">
        <v>46276.0</v>
      </c>
      <c r="B13" s="7" t="s">
        <v>14</v>
      </c>
      <c r="C13" s="15"/>
      <c r="D13" s="14"/>
      <c r="E13" s="15"/>
      <c r="F13" s="14"/>
      <c r="G13" s="10" t="str">
        <f t="shared" si="3"/>
        <v/>
      </c>
      <c r="H13" s="11" t="str">
        <f t="shared" si="4"/>
        <v/>
      </c>
    </row>
    <row r="14" ht="21.75" customHeight="1">
      <c r="A14" s="17" t="s">
        <v>19</v>
      </c>
      <c r="B14" s="18"/>
      <c r="C14" s="19"/>
      <c r="D14" s="19"/>
      <c r="E14" s="19"/>
      <c r="F14" s="19"/>
      <c r="G14" s="20">
        <f t="shared" ref="G14:H14" si="5">SUM(G9:G13)</f>
        <v>0</v>
      </c>
      <c r="H14" s="21">
        <f t="shared" si="5"/>
        <v>0</v>
      </c>
    </row>
    <row r="15" ht="19.5" customHeight="1">
      <c r="A15" s="6">
        <v>46279.0</v>
      </c>
      <c r="B15" s="7" t="s">
        <v>10</v>
      </c>
      <c r="C15" s="15"/>
      <c r="D15" s="14"/>
      <c r="E15" s="15"/>
      <c r="F15" s="14"/>
      <c r="G15" s="10" t="str">
        <f t="shared" ref="G15:G16" si="6">IF(OR(C15="",D15="",E15="",F15=""),"",(D15-C15)+(F15-E15))</f>
        <v/>
      </c>
      <c r="H15" s="11" t="str">
        <f t="shared" ref="H15:H16" si="7">IF(G15="","",MAX(0,G15-TIME(7,0,0)))</f>
        <v/>
      </c>
    </row>
    <row r="16" ht="19.5" customHeight="1">
      <c r="A16" s="12">
        <v>46280.0</v>
      </c>
      <c r="B16" s="13" t="s">
        <v>11</v>
      </c>
      <c r="C16" s="15"/>
      <c r="D16" s="14"/>
      <c r="E16" s="15"/>
      <c r="F16" s="14"/>
      <c r="G16" s="10" t="str">
        <f t="shared" si="6"/>
        <v/>
      </c>
      <c r="H16" s="11" t="str">
        <f t="shared" si="7"/>
        <v/>
      </c>
    </row>
    <row r="17" ht="19.5" customHeight="1">
      <c r="A17" s="22">
        <v>46281.0</v>
      </c>
      <c r="B17" s="23" t="s">
        <v>16</v>
      </c>
      <c r="C17" s="24"/>
      <c r="D17" s="24"/>
      <c r="E17" s="24"/>
      <c r="F17" s="25"/>
      <c r="G17" s="26" t="s">
        <v>17</v>
      </c>
      <c r="H17" s="27" t="s">
        <v>18</v>
      </c>
    </row>
    <row r="18" ht="19.5" customHeight="1">
      <c r="A18" s="12">
        <v>46282.0</v>
      </c>
      <c r="B18" s="13" t="s">
        <v>13</v>
      </c>
      <c r="C18" s="15"/>
      <c r="D18" s="14"/>
      <c r="E18" s="15"/>
      <c r="F18" s="14"/>
      <c r="G18" s="10" t="str">
        <f t="shared" ref="G18:G19" si="8">IF(OR(C18="",D18="",E18="",F18=""),"",(D18-C18)+(F18-E18))</f>
        <v/>
      </c>
      <c r="H18" s="11" t="str">
        <f t="shared" ref="H18:H19" si="9">IF(G18="","",MAX(0,G18-TIME(7,0,0)))</f>
        <v/>
      </c>
    </row>
    <row r="19" ht="19.5" customHeight="1">
      <c r="A19" s="6">
        <v>46283.0</v>
      </c>
      <c r="B19" s="7" t="s">
        <v>14</v>
      </c>
      <c r="C19" s="15"/>
      <c r="D19" s="14"/>
      <c r="E19" s="15"/>
      <c r="F19" s="14"/>
      <c r="G19" s="10" t="str">
        <f t="shared" si="8"/>
        <v/>
      </c>
      <c r="H19" s="11" t="str">
        <f t="shared" si="9"/>
        <v/>
      </c>
    </row>
    <row r="20" ht="21.75" customHeight="1">
      <c r="A20" s="17" t="s">
        <v>20</v>
      </c>
      <c r="B20" s="18"/>
      <c r="C20" s="19"/>
      <c r="D20" s="19"/>
      <c r="E20" s="19"/>
      <c r="F20" s="19"/>
      <c r="G20" s="20">
        <f>SUM(G15:G19)-TIME(7,0,0)</f>
        <v>-0.2916666667</v>
      </c>
      <c r="H20" s="21">
        <f>SUM(H15:H19)</f>
        <v>0</v>
      </c>
    </row>
    <row r="21" ht="19.5" customHeight="1">
      <c r="A21" s="6">
        <v>46286.0</v>
      </c>
      <c r="B21" s="7" t="s">
        <v>10</v>
      </c>
      <c r="C21" s="15"/>
      <c r="D21" s="14"/>
      <c r="E21" s="15"/>
      <c r="F21" s="14"/>
      <c r="G21" s="10" t="str">
        <f t="shared" ref="G21:G25" si="10">IF(OR(C21="",D21="",E21="",F21=""),"",(D21-C21)+(F21-E21))</f>
        <v/>
      </c>
      <c r="H21" s="11" t="str">
        <f t="shared" ref="H21:H25" si="11">IF(G21="","",MAX(0,G21-TIME(7,0,0)))</f>
        <v/>
      </c>
    </row>
    <row r="22" ht="19.5" customHeight="1">
      <c r="A22" s="12">
        <v>46287.0</v>
      </c>
      <c r="B22" s="13" t="s">
        <v>11</v>
      </c>
      <c r="C22" s="15"/>
      <c r="D22" s="14"/>
      <c r="E22" s="15"/>
      <c r="F22" s="14"/>
      <c r="G22" s="10" t="str">
        <f t="shared" si="10"/>
        <v/>
      </c>
      <c r="H22" s="11" t="str">
        <f t="shared" si="11"/>
        <v/>
      </c>
    </row>
    <row r="23" ht="19.5" customHeight="1">
      <c r="A23" s="6">
        <v>46288.0</v>
      </c>
      <c r="B23" s="7" t="s">
        <v>12</v>
      </c>
      <c r="C23" s="15"/>
      <c r="D23" s="14"/>
      <c r="E23" s="15"/>
      <c r="F23" s="14"/>
      <c r="G23" s="10" t="str">
        <f t="shared" si="10"/>
        <v/>
      </c>
      <c r="H23" s="11" t="str">
        <f t="shared" si="11"/>
        <v/>
      </c>
    </row>
    <row r="24" ht="19.5" customHeight="1">
      <c r="A24" s="12">
        <v>46289.0</v>
      </c>
      <c r="B24" s="13" t="s">
        <v>13</v>
      </c>
      <c r="C24" s="15"/>
      <c r="D24" s="14"/>
      <c r="E24" s="15"/>
      <c r="F24" s="14"/>
      <c r="G24" s="10" t="str">
        <f t="shared" si="10"/>
        <v/>
      </c>
      <c r="H24" s="11" t="str">
        <f t="shared" si="11"/>
        <v/>
      </c>
    </row>
    <row r="25" ht="19.5" customHeight="1">
      <c r="A25" s="6">
        <v>46290.0</v>
      </c>
      <c r="B25" s="7" t="s">
        <v>14</v>
      </c>
      <c r="C25" s="15"/>
      <c r="D25" s="14"/>
      <c r="E25" s="15"/>
      <c r="F25" s="14"/>
      <c r="G25" s="10" t="str">
        <f t="shared" si="10"/>
        <v/>
      </c>
      <c r="H25" s="11" t="str">
        <f t="shared" si="11"/>
        <v/>
      </c>
    </row>
    <row r="26" ht="21.75" customHeight="1">
      <c r="A26" s="17" t="s">
        <v>21</v>
      </c>
      <c r="B26" s="18"/>
      <c r="C26" s="19"/>
      <c r="D26" s="19"/>
      <c r="E26" s="19"/>
      <c r="F26" s="19"/>
      <c r="G26" s="20">
        <f t="shared" ref="G26:H26" si="12">SUM(G21:G25)</f>
        <v>0</v>
      </c>
      <c r="H26" s="21">
        <f t="shared" si="12"/>
        <v>0</v>
      </c>
    </row>
    <row r="27" ht="19.5" customHeight="1">
      <c r="A27" s="6">
        <v>46293.0</v>
      </c>
      <c r="B27" s="7" t="s">
        <v>10</v>
      </c>
      <c r="C27" s="15"/>
      <c r="D27" s="14"/>
      <c r="E27" s="15"/>
      <c r="F27" s="14"/>
      <c r="G27" s="10" t="str">
        <f t="shared" ref="G27:G28" si="13">IF(OR(C27="",D27="",E27="",F27=""),"",(D27-C27)+(F27-E27))</f>
        <v/>
      </c>
      <c r="H27" s="11" t="str">
        <f t="shared" ref="H27:H28" si="14">IF(G27="","",MAX(0,G27-TIME(7,0,0)))</f>
        <v/>
      </c>
    </row>
    <row r="28" ht="19.5" customHeight="1">
      <c r="A28" s="12">
        <v>46294.0</v>
      </c>
      <c r="B28" s="13" t="s">
        <v>11</v>
      </c>
      <c r="C28" s="15"/>
      <c r="D28" s="14"/>
      <c r="E28" s="15"/>
      <c r="F28" s="14"/>
      <c r="G28" s="10" t="str">
        <f t="shared" si="13"/>
        <v/>
      </c>
      <c r="H28" s="11" t="str">
        <f t="shared" si="14"/>
        <v/>
      </c>
    </row>
    <row r="29" ht="19.5" customHeight="1">
      <c r="A29" s="22">
        <v>46295.0</v>
      </c>
      <c r="B29" s="23" t="s">
        <v>16</v>
      </c>
      <c r="C29" s="24"/>
      <c r="D29" s="24"/>
      <c r="E29" s="24"/>
      <c r="F29" s="25"/>
      <c r="G29" s="26" t="s">
        <v>17</v>
      </c>
      <c r="H29" s="27" t="s">
        <v>18</v>
      </c>
    </row>
    <row r="30" ht="21.75" customHeight="1">
      <c r="A30" s="17" t="s">
        <v>22</v>
      </c>
      <c r="B30" s="18"/>
      <c r="C30" s="19"/>
      <c r="D30" s="19"/>
      <c r="E30" s="19"/>
      <c r="F30" s="19"/>
      <c r="G30" s="20">
        <f>SUM(G27:G29)-TIME(7,0,0)</f>
        <v>-0.2916666667</v>
      </c>
      <c r="H30" s="21">
        <f>SUM(H27:H29)</f>
        <v>0</v>
      </c>
    </row>
    <row r="31" ht="25.5" customHeight="1">
      <c r="A31" s="28" t="s">
        <v>30</v>
      </c>
      <c r="B31" s="29"/>
      <c r="C31" s="29"/>
      <c r="D31" s="29"/>
      <c r="E31" s="29"/>
      <c r="F31" s="30"/>
      <c r="G31" s="31">
        <f t="shared" ref="G31:H31" si="15">G8+G14+G20+G26+G30</f>
        <v>-0.875</v>
      </c>
      <c r="H31" s="32">
        <f t="shared" si="15"/>
        <v>0</v>
      </c>
    </row>
    <row r="32" ht="15.75" customHeight="1"/>
    <row r="33" ht="15.75" customHeight="1">
      <c r="A33" s="33" t="s">
        <v>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6:B26"/>
    <mergeCell ref="B29:F29"/>
    <mergeCell ref="A30:B30"/>
    <mergeCell ref="A31:F31"/>
    <mergeCell ref="A33:H33"/>
    <mergeCell ref="A1:H1"/>
    <mergeCell ref="A2:H2"/>
    <mergeCell ref="B5:F5"/>
    <mergeCell ref="A8:B8"/>
    <mergeCell ref="A14:B14"/>
    <mergeCell ref="B17:F17"/>
    <mergeCell ref="A20:B2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7" width="13.0"/>
    <col customWidth="1" min="8" max="8" width="14.0"/>
    <col customWidth="1" min="9" max="26" width="14.38"/>
  </cols>
  <sheetData>
    <row r="1" ht="31.5" customHeight="1">
      <c r="A1" s="1" t="s">
        <v>31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36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ht="19.5" customHeight="1">
      <c r="A4" s="6">
        <v>46296.0</v>
      </c>
      <c r="B4" s="7" t="s">
        <v>13</v>
      </c>
      <c r="C4" s="15"/>
      <c r="D4" s="14"/>
      <c r="E4" s="15"/>
      <c r="F4" s="14"/>
      <c r="G4" s="10" t="str">
        <f t="shared" ref="G4:G5" si="1">IF(OR(C4="",D4="",E4="",F4=""),"",(D4-C4)+(F4-E4))</f>
        <v/>
      </c>
      <c r="H4" s="11" t="str">
        <f t="shared" ref="H4:H5" si="2">IF(G4="","",MAX(0,G4-TIME(7,0,0)))</f>
        <v/>
      </c>
    </row>
    <row r="5" ht="19.5" customHeight="1">
      <c r="A5" s="12">
        <v>46297.0</v>
      </c>
      <c r="B5" s="13" t="s">
        <v>14</v>
      </c>
      <c r="C5" s="15"/>
      <c r="D5" s="14"/>
      <c r="E5" s="15"/>
      <c r="F5" s="14"/>
      <c r="G5" s="10" t="str">
        <f t="shared" si="1"/>
        <v/>
      </c>
      <c r="H5" s="11" t="str">
        <f t="shared" si="2"/>
        <v/>
      </c>
    </row>
    <row r="6" ht="21.75" customHeight="1">
      <c r="A6" s="17" t="s">
        <v>15</v>
      </c>
      <c r="B6" s="18"/>
      <c r="C6" s="19"/>
      <c r="D6" s="19"/>
      <c r="E6" s="19"/>
      <c r="F6" s="19"/>
      <c r="G6" s="20">
        <f t="shared" ref="G6:H6" si="3">SUM(G4:G5)</f>
        <v>0</v>
      </c>
      <c r="H6" s="21">
        <f t="shared" si="3"/>
        <v>0</v>
      </c>
    </row>
    <row r="7" ht="19.5" customHeight="1">
      <c r="A7" s="6">
        <v>46300.0</v>
      </c>
      <c r="B7" s="7" t="s">
        <v>10</v>
      </c>
      <c r="C7" s="15"/>
      <c r="D7" s="14"/>
      <c r="E7" s="15"/>
      <c r="F7" s="14"/>
      <c r="G7" s="10" t="str">
        <f t="shared" ref="G7:G11" si="4">IF(OR(C7="",D7="",E7="",F7=""),"",(D7-C7)+(F7-E7))</f>
        <v/>
      </c>
      <c r="H7" s="11" t="str">
        <f t="shared" ref="H7:H11" si="5">IF(G7="","",MAX(0,G7-TIME(7,0,0)))</f>
        <v/>
      </c>
    </row>
    <row r="8" ht="19.5" customHeight="1">
      <c r="A8" s="12">
        <v>46301.0</v>
      </c>
      <c r="B8" s="13" t="s">
        <v>11</v>
      </c>
      <c r="C8" s="15"/>
      <c r="D8" s="14"/>
      <c r="E8" s="15"/>
      <c r="F8" s="14"/>
      <c r="G8" s="10" t="str">
        <f t="shared" si="4"/>
        <v/>
      </c>
      <c r="H8" s="11" t="str">
        <f t="shared" si="5"/>
        <v/>
      </c>
    </row>
    <row r="9" ht="19.5" customHeight="1">
      <c r="A9" s="6">
        <v>46302.0</v>
      </c>
      <c r="B9" s="7" t="s">
        <v>12</v>
      </c>
      <c r="C9" s="15"/>
      <c r="D9" s="14"/>
      <c r="E9" s="15"/>
      <c r="F9" s="14"/>
      <c r="G9" s="10" t="str">
        <f t="shared" si="4"/>
        <v/>
      </c>
      <c r="H9" s="11" t="str">
        <f t="shared" si="5"/>
        <v/>
      </c>
    </row>
    <row r="10" ht="19.5" customHeight="1">
      <c r="A10" s="12">
        <v>46303.0</v>
      </c>
      <c r="B10" s="13" t="s">
        <v>13</v>
      </c>
      <c r="C10" s="15"/>
      <c r="D10" s="14"/>
      <c r="E10" s="15"/>
      <c r="F10" s="14"/>
      <c r="G10" s="10" t="str">
        <f t="shared" si="4"/>
        <v/>
      </c>
      <c r="H10" s="11" t="str">
        <f t="shared" si="5"/>
        <v/>
      </c>
    </row>
    <row r="11" ht="19.5" customHeight="1">
      <c r="A11" s="6">
        <v>46304.0</v>
      </c>
      <c r="B11" s="7" t="s">
        <v>14</v>
      </c>
      <c r="C11" s="15"/>
      <c r="D11" s="14"/>
      <c r="E11" s="15"/>
      <c r="F11" s="14"/>
      <c r="G11" s="10" t="str">
        <f t="shared" si="4"/>
        <v/>
      </c>
      <c r="H11" s="11" t="str">
        <f t="shared" si="5"/>
        <v/>
      </c>
    </row>
    <row r="12" ht="21.75" customHeight="1">
      <c r="A12" s="17" t="s">
        <v>19</v>
      </c>
      <c r="B12" s="18"/>
      <c r="C12" s="19"/>
      <c r="D12" s="19"/>
      <c r="E12" s="19"/>
      <c r="F12" s="19"/>
      <c r="G12" s="20">
        <f t="shared" ref="G12:H12" si="6">SUM(G7:G11)</f>
        <v>0</v>
      </c>
      <c r="H12" s="21">
        <f t="shared" si="6"/>
        <v>0</v>
      </c>
    </row>
    <row r="13" ht="19.5" customHeight="1">
      <c r="A13" s="6">
        <v>46307.0</v>
      </c>
      <c r="B13" s="7" t="s">
        <v>10</v>
      </c>
      <c r="C13" s="15"/>
      <c r="D13" s="14"/>
      <c r="E13" s="15"/>
      <c r="F13" s="14"/>
      <c r="G13" s="10" t="str">
        <f t="shared" ref="G13:G14" si="7">IF(OR(C13="",D13="",E13="",F13=""),"",(D13-C13)+(F13-E13))</f>
        <v/>
      </c>
      <c r="H13" s="11" t="str">
        <f t="shared" ref="H13:H14" si="8">IF(G13="","",MAX(0,G13-TIME(7,0,0)))</f>
        <v/>
      </c>
    </row>
    <row r="14" ht="19.5" customHeight="1">
      <c r="A14" s="12">
        <v>46308.0</v>
      </c>
      <c r="B14" s="13" t="s">
        <v>11</v>
      </c>
      <c r="C14" s="15"/>
      <c r="D14" s="14"/>
      <c r="E14" s="15"/>
      <c r="F14" s="14"/>
      <c r="G14" s="10" t="str">
        <f t="shared" si="7"/>
        <v/>
      </c>
      <c r="H14" s="11" t="str">
        <f t="shared" si="8"/>
        <v/>
      </c>
    </row>
    <row r="15" ht="19.5" customHeight="1">
      <c r="A15" s="22">
        <v>46309.0</v>
      </c>
      <c r="B15" s="23" t="s">
        <v>16</v>
      </c>
      <c r="C15" s="24"/>
      <c r="D15" s="24"/>
      <c r="E15" s="24"/>
      <c r="F15" s="25"/>
      <c r="G15" s="26" t="s">
        <v>17</v>
      </c>
      <c r="H15" s="27" t="s">
        <v>18</v>
      </c>
    </row>
    <row r="16" ht="19.5" customHeight="1">
      <c r="A16" s="12">
        <v>46310.0</v>
      </c>
      <c r="B16" s="13" t="s">
        <v>13</v>
      </c>
      <c r="C16" s="15"/>
      <c r="D16" s="14"/>
      <c r="E16" s="15"/>
      <c r="F16" s="14"/>
      <c r="G16" s="10" t="str">
        <f t="shared" ref="G16:G17" si="9">IF(OR(C16="",D16="",E16="",F16=""),"",(D16-C16)+(F16-E16))</f>
        <v/>
      </c>
      <c r="H16" s="11" t="str">
        <f t="shared" ref="H16:H17" si="10">IF(G16="","",MAX(0,G16-TIME(7,0,0)))</f>
        <v/>
      </c>
    </row>
    <row r="17" ht="19.5" customHeight="1">
      <c r="A17" s="6">
        <v>46311.0</v>
      </c>
      <c r="B17" s="7" t="s">
        <v>14</v>
      </c>
      <c r="C17" s="15"/>
      <c r="D17" s="14"/>
      <c r="E17" s="15"/>
      <c r="F17" s="14"/>
      <c r="G17" s="10" t="str">
        <f t="shared" si="9"/>
        <v/>
      </c>
      <c r="H17" s="11" t="str">
        <f t="shared" si="10"/>
        <v/>
      </c>
    </row>
    <row r="18" ht="21.75" customHeight="1">
      <c r="A18" s="17" t="s">
        <v>20</v>
      </c>
      <c r="B18" s="18"/>
      <c r="C18" s="19"/>
      <c r="D18" s="19"/>
      <c r="E18" s="19"/>
      <c r="F18" s="19"/>
      <c r="G18" s="20">
        <f>SUM(G13:G17)-TIME(7,0,0)</f>
        <v>-0.2916666667</v>
      </c>
      <c r="H18" s="21">
        <f>SUM(H13:H17)</f>
        <v>0</v>
      </c>
    </row>
    <row r="19" ht="19.5" customHeight="1">
      <c r="A19" s="6">
        <v>46314.0</v>
      </c>
      <c r="B19" s="7" t="s">
        <v>10</v>
      </c>
      <c r="C19" s="15"/>
      <c r="D19" s="14"/>
      <c r="E19" s="15"/>
      <c r="F19" s="14"/>
      <c r="G19" s="10" t="str">
        <f t="shared" ref="G19:G23" si="11">IF(OR(C19="",D19="",E19="",F19=""),"",(D19-C19)+(F19-E19))</f>
        <v/>
      </c>
      <c r="H19" s="11" t="str">
        <f t="shared" ref="H19:H23" si="12">IF(G19="","",MAX(0,G19-TIME(7,0,0)))</f>
        <v/>
      </c>
    </row>
    <row r="20" ht="19.5" customHeight="1">
      <c r="A20" s="12">
        <v>46315.0</v>
      </c>
      <c r="B20" s="13" t="s">
        <v>11</v>
      </c>
      <c r="C20" s="15"/>
      <c r="D20" s="14"/>
      <c r="E20" s="15"/>
      <c r="F20" s="14"/>
      <c r="G20" s="10" t="str">
        <f t="shared" si="11"/>
        <v/>
      </c>
      <c r="H20" s="11" t="str">
        <f t="shared" si="12"/>
        <v/>
      </c>
    </row>
    <row r="21" ht="19.5" customHeight="1">
      <c r="A21" s="6">
        <v>46316.0</v>
      </c>
      <c r="B21" s="7" t="s">
        <v>12</v>
      </c>
      <c r="C21" s="15"/>
      <c r="D21" s="14"/>
      <c r="E21" s="15"/>
      <c r="F21" s="14"/>
      <c r="G21" s="10" t="str">
        <f t="shared" si="11"/>
        <v/>
      </c>
      <c r="H21" s="11" t="str">
        <f t="shared" si="12"/>
        <v/>
      </c>
    </row>
    <row r="22" ht="19.5" customHeight="1">
      <c r="A22" s="12">
        <v>46317.0</v>
      </c>
      <c r="B22" s="13" t="s">
        <v>13</v>
      </c>
      <c r="C22" s="15"/>
      <c r="D22" s="14"/>
      <c r="E22" s="15"/>
      <c r="F22" s="14"/>
      <c r="G22" s="10" t="str">
        <f t="shared" si="11"/>
        <v/>
      </c>
      <c r="H22" s="11" t="str">
        <f t="shared" si="12"/>
        <v/>
      </c>
    </row>
    <row r="23" ht="19.5" customHeight="1">
      <c r="A23" s="6">
        <v>46318.0</v>
      </c>
      <c r="B23" s="7" t="s">
        <v>14</v>
      </c>
      <c r="C23" s="15"/>
      <c r="D23" s="14"/>
      <c r="E23" s="15"/>
      <c r="F23" s="14"/>
      <c r="G23" s="10" t="str">
        <f t="shared" si="11"/>
        <v/>
      </c>
      <c r="H23" s="11" t="str">
        <f t="shared" si="12"/>
        <v/>
      </c>
    </row>
    <row r="24" ht="21.75" customHeight="1">
      <c r="A24" s="17" t="s">
        <v>21</v>
      </c>
      <c r="B24" s="18"/>
      <c r="C24" s="19"/>
      <c r="D24" s="19"/>
      <c r="E24" s="19"/>
      <c r="F24" s="19"/>
      <c r="G24" s="20">
        <f t="shared" ref="G24:H24" si="13">SUM(G19:G23)</f>
        <v>0</v>
      </c>
      <c r="H24" s="21">
        <f t="shared" si="13"/>
        <v>0</v>
      </c>
    </row>
    <row r="25" ht="19.5" customHeight="1">
      <c r="A25" s="6">
        <v>46321.0</v>
      </c>
      <c r="B25" s="7" t="s">
        <v>10</v>
      </c>
      <c r="C25" s="15"/>
      <c r="D25" s="14"/>
      <c r="E25" s="15"/>
      <c r="F25" s="14"/>
      <c r="G25" s="10" t="str">
        <f t="shared" ref="G25:G26" si="14">IF(OR(C25="",D25="",E25="",F25=""),"",(D25-C25)+(F25-E25))</f>
        <v/>
      </c>
      <c r="H25" s="11" t="str">
        <f t="shared" ref="H25:H26" si="15">IF(G25="","",MAX(0,G25-TIME(7,0,0)))</f>
        <v/>
      </c>
    </row>
    <row r="26" ht="19.5" customHeight="1">
      <c r="A26" s="12">
        <v>46322.0</v>
      </c>
      <c r="B26" s="13" t="s">
        <v>11</v>
      </c>
      <c r="C26" s="15"/>
      <c r="D26" s="14"/>
      <c r="E26" s="15"/>
      <c r="F26" s="14"/>
      <c r="G26" s="10" t="str">
        <f t="shared" si="14"/>
        <v/>
      </c>
      <c r="H26" s="11" t="str">
        <f t="shared" si="15"/>
        <v/>
      </c>
    </row>
    <row r="27" ht="19.5" customHeight="1">
      <c r="A27" s="22">
        <v>46323.0</v>
      </c>
      <c r="B27" s="23" t="s">
        <v>16</v>
      </c>
      <c r="C27" s="24"/>
      <c r="D27" s="24"/>
      <c r="E27" s="24"/>
      <c r="F27" s="25"/>
      <c r="G27" s="26" t="s">
        <v>17</v>
      </c>
      <c r="H27" s="27" t="s">
        <v>18</v>
      </c>
    </row>
    <row r="28" ht="19.5" customHeight="1">
      <c r="A28" s="12">
        <v>46324.0</v>
      </c>
      <c r="B28" s="13" t="s">
        <v>13</v>
      </c>
      <c r="C28" s="15"/>
      <c r="D28" s="14"/>
      <c r="E28" s="15"/>
      <c r="F28" s="14"/>
      <c r="G28" s="10" t="str">
        <f t="shared" ref="G28:G29" si="16">IF(OR(C28="",D28="",E28="",F28=""),"",(D28-C28)+(F28-E28))</f>
        <v/>
      </c>
      <c r="H28" s="11" t="str">
        <f t="shared" ref="H28:H29" si="17">IF(G28="","",MAX(0,G28-TIME(7,0,0)))</f>
        <v/>
      </c>
    </row>
    <row r="29" ht="19.5" customHeight="1">
      <c r="A29" s="6">
        <v>46325.0</v>
      </c>
      <c r="B29" s="7" t="s">
        <v>14</v>
      </c>
      <c r="C29" s="15"/>
      <c r="D29" s="14"/>
      <c r="E29" s="15"/>
      <c r="F29" s="14"/>
      <c r="G29" s="10" t="str">
        <f t="shared" si="16"/>
        <v/>
      </c>
      <c r="H29" s="11" t="str">
        <f t="shared" si="17"/>
        <v/>
      </c>
    </row>
    <row r="30" ht="21.75" customHeight="1">
      <c r="A30" s="17" t="s">
        <v>22</v>
      </c>
      <c r="B30" s="18"/>
      <c r="C30" s="19"/>
      <c r="D30" s="19"/>
      <c r="E30" s="19"/>
      <c r="F30" s="19"/>
      <c r="G30" s="20">
        <f>SUM(G25:G29)-TIME(7,0,0)</f>
        <v>-0.2916666667</v>
      </c>
      <c r="H30" s="21">
        <f>SUM(H25:H29)</f>
        <v>0</v>
      </c>
    </row>
    <row r="31" ht="25.5" customHeight="1">
      <c r="A31" s="28" t="s">
        <v>32</v>
      </c>
      <c r="B31" s="29"/>
      <c r="C31" s="29"/>
      <c r="D31" s="29"/>
      <c r="E31" s="29"/>
      <c r="F31" s="30"/>
      <c r="G31" s="31">
        <f t="shared" ref="G31:H31" si="18">G6+G12+G18+G24+G30</f>
        <v>-0.5833333333</v>
      </c>
      <c r="H31" s="32">
        <f t="shared" si="18"/>
        <v>0</v>
      </c>
    </row>
    <row r="32" ht="15.75" customHeight="1"/>
    <row r="33" ht="15.75" customHeight="1">
      <c r="A33" s="33" t="s">
        <v>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4:B24"/>
    <mergeCell ref="A30:B30"/>
    <mergeCell ref="A31:F31"/>
    <mergeCell ref="A33:H33"/>
    <mergeCell ref="A1:H1"/>
    <mergeCell ref="A2:H2"/>
    <mergeCell ref="A6:B6"/>
    <mergeCell ref="A12:B12"/>
    <mergeCell ref="B15:F15"/>
    <mergeCell ref="A18:B18"/>
    <mergeCell ref="B27:F2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7" width="13.0"/>
    <col customWidth="1" min="8" max="8" width="14.0"/>
    <col customWidth="1" min="9" max="26" width="14.38"/>
  </cols>
  <sheetData>
    <row r="1" ht="31.5" customHeight="1">
      <c r="A1" s="1" t="s">
        <v>33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36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ht="19.5" customHeight="1">
      <c r="A4" s="6">
        <v>46328.0</v>
      </c>
      <c r="B4" s="7" t="s">
        <v>10</v>
      </c>
      <c r="C4" s="15"/>
      <c r="D4" s="14"/>
      <c r="E4" s="15"/>
      <c r="F4" s="14"/>
      <c r="G4" s="10" t="str">
        <f t="shared" ref="G4:G8" si="1">IF(OR(C4="",D4="",E4="",F4=""),"",(D4-C4)+(F4-E4))</f>
        <v/>
      </c>
      <c r="H4" s="11" t="str">
        <f t="shared" ref="H4:H8" si="2">IF(G4="","",MAX(0,G4-TIME(7,0,0)))</f>
        <v/>
      </c>
    </row>
    <row r="5" ht="19.5" customHeight="1">
      <c r="A5" s="12">
        <v>46329.0</v>
      </c>
      <c r="B5" s="13" t="s">
        <v>11</v>
      </c>
      <c r="C5" s="15"/>
      <c r="D5" s="14"/>
      <c r="E5" s="15"/>
      <c r="F5" s="14"/>
      <c r="G5" s="10" t="str">
        <f t="shared" si="1"/>
        <v/>
      </c>
      <c r="H5" s="11" t="str">
        <f t="shared" si="2"/>
        <v/>
      </c>
    </row>
    <row r="6" ht="19.5" customHeight="1">
      <c r="A6" s="6">
        <v>46330.0</v>
      </c>
      <c r="B6" s="7" t="s">
        <v>12</v>
      </c>
      <c r="C6" s="15"/>
      <c r="D6" s="14"/>
      <c r="E6" s="15"/>
      <c r="F6" s="14"/>
      <c r="G6" s="10" t="str">
        <f t="shared" si="1"/>
        <v/>
      </c>
      <c r="H6" s="11" t="str">
        <f t="shared" si="2"/>
        <v/>
      </c>
    </row>
    <row r="7" ht="19.5" customHeight="1">
      <c r="A7" s="12">
        <v>46331.0</v>
      </c>
      <c r="B7" s="13" t="s">
        <v>13</v>
      </c>
      <c r="C7" s="15"/>
      <c r="D7" s="14"/>
      <c r="E7" s="15"/>
      <c r="F7" s="14"/>
      <c r="G7" s="10" t="str">
        <f t="shared" si="1"/>
        <v/>
      </c>
      <c r="H7" s="11" t="str">
        <f t="shared" si="2"/>
        <v/>
      </c>
    </row>
    <row r="8" ht="19.5" customHeight="1">
      <c r="A8" s="6">
        <v>46332.0</v>
      </c>
      <c r="B8" s="7" t="s">
        <v>14</v>
      </c>
      <c r="C8" s="15"/>
      <c r="D8" s="14"/>
      <c r="E8" s="15"/>
      <c r="F8" s="14"/>
      <c r="G8" s="10" t="str">
        <f t="shared" si="1"/>
        <v/>
      </c>
      <c r="H8" s="11" t="str">
        <f t="shared" si="2"/>
        <v/>
      </c>
    </row>
    <row r="9" ht="21.75" customHeight="1">
      <c r="A9" s="17" t="s">
        <v>15</v>
      </c>
      <c r="B9" s="18"/>
      <c r="C9" s="19"/>
      <c r="D9" s="19"/>
      <c r="E9" s="19"/>
      <c r="F9" s="19"/>
      <c r="G9" s="20">
        <f t="shared" ref="G9:H9" si="3">SUM(G4:G8)</f>
        <v>0</v>
      </c>
      <c r="H9" s="21">
        <f t="shared" si="3"/>
        <v>0</v>
      </c>
    </row>
    <row r="10" ht="19.5" customHeight="1">
      <c r="A10" s="6">
        <v>46335.0</v>
      </c>
      <c r="B10" s="7" t="s">
        <v>10</v>
      </c>
      <c r="C10" s="15"/>
      <c r="D10" s="14"/>
      <c r="E10" s="15"/>
      <c r="F10" s="14"/>
      <c r="G10" s="10" t="str">
        <f t="shared" ref="G10:G11" si="4">IF(OR(C10="",D10="",E10="",F10=""),"",(D10-C10)+(F10-E10))</f>
        <v/>
      </c>
      <c r="H10" s="11" t="str">
        <f t="shared" ref="H10:H11" si="5">IF(G10="","",MAX(0,G10-TIME(7,0,0)))</f>
        <v/>
      </c>
    </row>
    <row r="11" ht="19.5" customHeight="1">
      <c r="A11" s="12">
        <v>46336.0</v>
      </c>
      <c r="B11" s="13" t="s">
        <v>11</v>
      </c>
      <c r="C11" s="15"/>
      <c r="D11" s="14"/>
      <c r="E11" s="15"/>
      <c r="F11" s="14"/>
      <c r="G11" s="10" t="str">
        <f t="shared" si="4"/>
        <v/>
      </c>
      <c r="H11" s="11" t="str">
        <f t="shared" si="5"/>
        <v/>
      </c>
    </row>
    <row r="12" ht="19.5" customHeight="1">
      <c r="A12" s="22">
        <v>46337.0</v>
      </c>
      <c r="B12" s="23" t="s">
        <v>16</v>
      </c>
      <c r="C12" s="24"/>
      <c r="D12" s="24"/>
      <c r="E12" s="24"/>
      <c r="F12" s="25"/>
      <c r="G12" s="26" t="s">
        <v>17</v>
      </c>
      <c r="H12" s="27" t="s">
        <v>18</v>
      </c>
    </row>
    <row r="13" ht="19.5" customHeight="1">
      <c r="A13" s="12">
        <v>46338.0</v>
      </c>
      <c r="B13" s="13" t="s">
        <v>13</v>
      </c>
      <c r="C13" s="15"/>
      <c r="D13" s="14"/>
      <c r="E13" s="15"/>
      <c r="F13" s="14"/>
      <c r="G13" s="10" t="str">
        <f t="shared" ref="G13:G14" si="6">IF(OR(C13="",D13="",E13="",F13=""),"",(D13-C13)+(F13-E13))</f>
        <v/>
      </c>
      <c r="H13" s="11" t="str">
        <f t="shared" ref="H13:H14" si="7">IF(G13="","",MAX(0,G13-TIME(7,0,0)))</f>
        <v/>
      </c>
    </row>
    <row r="14" ht="19.5" customHeight="1">
      <c r="A14" s="6">
        <v>46339.0</v>
      </c>
      <c r="B14" s="7" t="s">
        <v>14</v>
      </c>
      <c r="C14" s="15"/>
      <c r="D14" s="14"/>
      <c r="E14" s="15"/>
      <c r="F14" s="14"/>
      <c r="G14" s="10" t="str">
        <f t="shared" si="6"/>
        <v/>
      </c>
      <c r="H14" s="11" t="str">
        <f t="shared" si="7"/>
        <v/>
      </c>
    </row>
    <row r="15" ht="21.75" customHeight="1">
      <c r="A15" s="17" t="s">
        <v>19</v>
      </c>
      <c r="B15" s="18"/>
      <c r="C15" s="19"/>
      <c r="D15" s="19"/>
      <c r="E15" s="19"/>
      <c r="F15" s="19"/>
      <c r="G15" s="20">
        <f>SUM(G10:G14)-TIME(7,0,0)</f>
        <v>-0.2916666667</v>
      </c>
      <c r="H15" s="21">
        <f>SUM(H10:H14)</f>
        <v>0</v>
      </c>
    </row>
    <row r="16" ht="19.5" customHeight="1">
      <c r="A16" s="6">
        <v>46342.0</v>
      </c>
      <c r="B16" s="7" t="s">
        <v>10</v>
      </c>
      <c r="C16" s="15"/>
      <c r="D16" s="14"/>
      <c r="E16" s="15"/>
      <c r="F16" s="14"/>
      <c r="G16" s="10" t="str">
        <f t="shared" ref="G16:G20" si="8">IF(OR(C16="",D16="",E16="",F16=""),"",(D16-C16)+(F16-E16))</f>
        <v/>
      </c>
      <c r="H16" s="11" t="str">
        <f t="shared" ref="H16:H20" si="9">IF(G16="","",MAX(0,G16-TIME(7,0,0)))</f>
        <v/>
      </c>
    </row>
    <row r="17" ht="19.5" customHeight="1">
      <c r="A17" s="12">
        <v>46343.0</v>
      </c>
      <c r="B17" s="13" t="s">
        <v>11</v>
      </c>
      <c r="C17" s="15"/>
      <c r="D17" s="14"/>
      <c r="E17" s="15"/>
      <c r="F17" s="14"/>
      <c r="G17" s="10" t="str">
        <f t="shared" si="8"/>
        <v/>
      </c>
      <c r="H17" s="11" t="str">
        <f t="shared" si="9"/>
        <v/>
      </c>
    </row>
    <row r="18" ht="19.5" customHeight="1">
      <c r="A18" s="6">
        <v>46344.0</v>
      </c>
      <c r="B18" s="7" t="s">
        <v>12</v>
      </c>
      <c r="C18" s="15"/>
      <c r="D18" s="14"/>
      <c r="E18" s="15"/>
      <c r="F18" s="14"/>
      <c r="G18" s="10" t="str">
        <f t="shared" si="8"/>
        <v/>
      </c>
      <c r="H18" s="11" t="str">
        <f t="shared" si="9"/>
        <v/>
      </c>
    </row>
    <row r="19" ht="19.5" customHeight="1">
      <c r="A19" s="12">
        <v>46345.0</v>
      </c>
      <c r="B19" s="13" t="s">
        <v>13</v>
      </c>
      <c r="C19" s="15"/>
      <c r="D19" s="14"/>
      <c r="E19" s="15"/>
      <c r="F19" s="14"/>
      <c r="G19" s="10" t="str">
        <f t="shared" si="8"/>
        <v/>
      </c>
      <c r="H19" s="11" t="str">
        <f t="shared" si="9"/>
        <v/>
      </c>
    </row>
    <row r="20" ht="19.5" customHeight="1">
      <c r="A20" s="6">
        <v>46346.0</v>
      </c>
      <c r="B20" s="7" t="s">
        <v>14</v>
      </c>
      <c r="C20" s="15"/>
      <c r="D20" s="14"/>
      <c r="E20" s="15"/>
      <c r="F20" s="14"/>
      <c r="G20" s="10" t="str">
        <f t="shared" si="8"/>
        <v/>
      </c>
      <c r="H20" s="11" t="str">
        <f t="shared" si="9"/>
        <v/>
      </c>
    </row>
    <row r="21" ht="21.75" customHeight="1">
      <c r="A21" s="17" t="s">
        <v>20</v>
      </c>
      <c r="B21" s="18"/>
      <c r="C21" s="19"/>
      <c r="D21" s="19"/>
      <c r="E21" s="19"/>
      <c r="F21" s="19"/>
      <c r="G21" s="20">
        <f t="shared" ref="G21:H21" si="10">SUM(G16:G20)</f>
        <v>0</v>
      </c>
      <c r="H21" s="21">
        <f t="shared" si="10"/>
        <v>0</v>
      </c>
    </row>
    <row r="22" ht="19.5" customHeight="1">
      <c r="A22" s="6">
        <v>46349.0</v>
      </c>
      <c r="B22" s="7" t="s">
        <v>10</v>
      </c>
      <c r="C22" s="15"/>
      <c r="D22" s="14"/>
      <c r="E22" s="15"/>
      <c r="F22" s="14"/>
      <c r="G22" s="10" t="str">
        <f t="shared" ref="G22:G23" si="11">IF(OR(C22="",D22="",E22="",F22=""),"",(D22-C22)+(F22-E22))</f>
        <v/>
      </c>
      <c r="H22" s="11" t="str">
        <f t="shared" ref="H22:H23" si="12">IF(G22="","",MAX(0,G22-TIME(7,0,0)))</f>
        <v/>
      </c>
    </row>
    <row r="23" ht="19.5" customHeight="1">
      <c r="A23" s="12">
        <v>46350.0</v>
      </c>
      <c r="B23" s="13" t="s">
        <v>11</v>
      </c>
      <c r="C23" s="15"/>
      <c r="D23" s="14"/>
      <c r="E23" s="15"/>
      <c r="F23" s="14"/>
      <c r="G23" s="10" t="str">
        <f t="shared" si="11"/>
        <v/>
      </c>
      <c r="H23" s="11" t="str">
        <f t="shared" si="12"/>
        <v/>
      </c>
    </row>
    <row r="24" ht="19.5" customHeight="1">
      <c r="A24" s="22">
        <v>46351.0</v>
      </c>
      <c r="B24" s="23" t="s">
        <v>16</v>
      </c>
      <c r="C24" s="24"/>
      <c r="D24" s="24"/>
      <c r="E24" s="24"/>
      <c r="F24" s="25"/>
      <c r="G24" s="26" t="s">
        <v>17</v>
      </c>
      <c r="H24" s="27" t="s">
        <v>18</v>
      </c>
    </row>
    <row r="25" ht="19.5" customHeight="1">
      <c r="A25" s="12">
        <v>46352.0</v>
      </c>
      <c r="B25" s="13" t="s">
        <v>13</v>
      </c>
      <c r="C25" s="15"/>
      <c r="D25" s="14"/>
      <c r="E25" s="15"/>
      <c r="F25" s="14"/>
      <c r="G25" s="10" t="str">
        <f t="shared" ref="G25:G26" si="13">IF(OR(C25="",D25="",E25="",F25=""),"",(D25-C25)+(F25-E25))</f>
        <v/>
      </c>
      <c r="H25" s="11" t="str">
        <f t="shared" ref="H25:H26" si="14">IF(G25="","",MAX(0,G25-TIME(7,0,0)))</f>
        <v/>
      </c>
    </row>
    <row r="26" ht="19.5" customHeight="1">
      <c r="A26" s="6">
        <v>46353.0</v>
      </c>
      <c r="B26" s="7" t="s">
        <v>14</v>
      </c>
      <c r="C26" s="15"/>
      <c r="D26" s="14"/>
      <c r="E26" s="15"/>
      <c r="F26" s="14"/>
      <c r="G26" s="10" t="str">
        <f t="shared" si="13"/>
        <v/>
      </c>
      <c r="H26" s="11" t="str">
        <f t="shared" si="14"/>
        <v/>
      </c>
    </row>
    <row r="27" ht="21.75" customHeight="1">
      <c r="A27" s="17" t="s">
        <v>21</v>
      </c>
      <c r="B27" s="18"/>
      <c r="C27" s="19"/>
      <c r="D27" s="19"/>
      <c r="E27" s="19"/>
      <c r="F27" s="19"/>
      <c r="G27" s="20">
        <f>SUM(G22:G26)-TIME(7,0,0)</f>
        <v>-0.2916666667</v>
      </c>
      <c r="H27" s="21">
        <f>SUM(H22:H26)</f>
        <v>0</v>
      </c>
    </row>
    <row r="28" ht="19.5" customHeight="1">
      <c r="A28" s="6">
        <v>46356.0</v>
      </c>
      <c r="B28" s="7" t="s">
        <v>10</v>
      </c>
      <c r="C28" s="15"/>
      <c r="D28" s="14"/>
      <c r="E28" s="15"/>
      <c r="F28" s="14"/>
      <c r="G28" s="10" t="str">
        <f>IF(OR(C28="",D28="",E28="",F28=""),"",(D28-C28)+(F28-E28))</f>
        <v/>
      </c>
      <c r="H28" s="11" t="str">
        <f>IF(G28="","",MAX(0,G28-TIME(7,0,0)))</f>
        <v/>
      </c>
    </row>
    <row r="29" ht="21.75" customHeight="1">
      <c r="A29" s="17" t="s">
        <v>22</v>
      </c>
      <c r="B29" s="18"/>
      <c r="C29" s="19"/>
      <c r="D29" s="19"/>
      <c r="E29" s="19"/>
      <c r="F29" s="19"/>
      <c r="G29" s="20">
        <f t="shared" ref="G29:H29" si="15">SUM(G28)</f>
        <v>0</v>
      </c>
      <c r="H29" s="21">
        <f t="shared" si="15"/>
        <v>0</v>
      </c>
    </row>
    <row r="30" ht="25.5" customHeight="1">
      <c r="A30" s="28" t="s">
        <v>34</v>
      </c>
      <c r="B30" s="29"/>
      <c r="C30" s="29"/>
      <c r="D30" s="29"/>
      <c r="E30" s="29"/>
      <c r="F30" s="30"/>
      <c r="G30" s="31">
        <f t="shared" ref="G30:H30" si="16">G9+G15+G21+G27+G29</f>
        <v>-0.5833333333</v>
      </c>
      <c r="H30" s="32">
        <f t="shared" si="16"/>
        <v>0</v>
      </c>
    </row>
    <row r="31" ht="15.75" customHeight="1"/>
    <row r="32" ht="15.75" customHeight="1">
      <c r="A32" s="33" t="s">
        <v>24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7:B27"/>
    <mergeCell ref="A29:B29"/>
    <mergeCell ref="A30:F30"/>
    <mergeCell ref="A32:H32"/>
    <mergeCell ref="A1:H1"/>
    <mergeCell ref="A2:H2"/>
    <mergeCell ref="A9:B9"/>
    <mergeCell ref="B12:F12"/>
    <mergeCell ref="A15:B15"/>
    <mergeCell ref="A21:B21"/>
    <mergeCell ref="B24:F2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7" width="13.0"/>
    <col customWidth="1" min="8" max="8" width="14.0"/>
    <col customWidth="1" min="9" max="26" width="14.38"/>
  </cols>
  <sheetData>
    <row r="1" ht="31.5" customHeight="1">
      <c r="A1" s="1" t="s">
        <v>35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36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ht="19.5" customHeight="1">
      <c r="A4" s="6">
        <v>46357.0</v>
      </c>
      <c r="B4" s="7" t="s">
        <v>11</v>
      </c>
      <c r="C4" s="15"/>
      <c r="D4" s="14"/>
      <c r="E4" s="15"/>
      <c r="F4" s="14"/>
      <c r="G4" s="10" t="str">
        <f t="shared" ref="G4:G7" si="1">IF(OR(C4="",D4="",E4="",F4=""),"",(D4-C4)+(F4-E4))</f>
        <v/>
      </c>
      <c r="H4" s="11" t="str">
        <f t="shared" ref="H4:H7" si="2">IF(G4="","",MAX(0,G4-TIME(7,0,0)))</f>
        <v/>
      </c>
    </row>
    <row r="5" ht="19.5" customHeight="1">
      <c r="A5" s="12">
        <v>46358.0</v>
      </c>
      <c r="B5" s="13" t="s">
        <v>12</v>
      </c>
      <c r="C5" s="15"/>
      <c r="D5" s="14"/>
      <c r="E5" s="15"/>
      <c r="F5" s="14"/>
      <c r="G5" s="10" t="str">
        <f t="shared" si="1"/>
        <v/>
      </c>
      <c r="H5" s="11" t="str">
        <f t="shared" si="2"/>
        <v/>
      </c>
    </row>
    <row r="6" ht="19.5" customHeight="1">
      <c r="A6" s="6">
        <v>46359.0</v>
      </c>
      <c r="B6" s="7" t="s">
        <v>13</v>
      </c>
      <c r="C6" s="15"/>
      <c r="D6" s="14"/>
      <c r="E6" s="15"/>
      <c r="F6" s="14"/>
      <c r="G6" s="10" t="str">
        <f t="shared" si="1"/>
        <v/>
      </c>
      <c r="H6" s="11" t="str">
        <f t="shared" si="2"/>
        <v/>
      </c>
    </row>
    <row r="7" ht="19.5" customHeight="1">
      <c r="A7" s="12">
        <v>46360.0</v>
      </c>
      <c r="B7" s="13" t="s">
        <v>14</v>
      </c>
      <c r="C7" s="15"/>
      <c r="D7" s="14"/>
      <c r="E7" s="15"/>
      <c r="F7" s="14"/>
      <c r="G7" s="10" t="str">
        <f t="shared" si="1"/>
        <v/>
      </c>
      <c r="H7" s="11" t="str">
        <f t="shared" si="2"/>
        <v/>
      </c>
    </row>
    <row r="8" ht="21.75" customHeight="1">
      <c r="A8" s="17" t="s">
        <v>15</v>
      </c>
      <c r="B8" s="18"/>
      <c r="C8" s="19"/>
      <c r="D8" s="19"/>
      <c r="E8" s="19"/>
      <c r="F8" s="19"/>
      <c r="G8" s="20">
        <f t="shared" ref="G8:H8" si="3">SUM(G4:G7)</f>
        <v>0</v>
      </c>
      <c r="H8" s="21">
        <f t="shared" si="3"/>
        <v>0</v>
      </c>
    </row>
    <row r="9" ht="19.5" customHeight="1">
      <c r="A9" s="6">
        <v>46363.0</v>
      </c>
      <c r="B9" s="7" t="s">
        <v>10</v>
      </c>
      <c r="C9" s="15"/>
      <c r="D9" s="14"/>
      <c r="E9" s="15"/>
      <c r="F9" s="14"/>
      <c r="G9" s="10" t="str">
        <f t="shared" ref="G9:G10" si="4">IF(OR(C9="",D9="",E9="",F9=""),"",(D9-C9)+(F9-E9))</f>
        <v/>
      </c>
      <c r="H9" s="11" t="str">
        <f t="shared" ref="H9:H10" si="5">IF(G9="","",MAX(0,G9-TIME(7,0,0)))</f>
        <v/>
      </c>
    </row>
    <row r="10" ht="19.5" customHeight="1">
      <c r="A10" s="12">
        <v>46364.0</v>
      </c>
      <c r="B10" s="13" t="s">
        <v>11</v>
      </c>
      <c r="C10" s="15"/>
      <c r="D10" s="14"/>
      <c r="E10" s="15"/>
      <c r="F10" s="14"/>
      <c r="G10" s="10" t="str">
        <f t="shared" si="4"/>
        <v/>
      </c>
      <c r="H10" s="11" t="str">
        <f t="shared" si="5"/>
        <v/>
      </c>
    </row>
    <row r="11" ht="19.5" customHeight="1">
      <c r="A11" s="22">
        <v>46365.0</v>
      </c>
      <c r="B11" s="23" t="s">
        <v>16</v>
      </c>
      <c r="C11" s="24"/>
      <c r="D11" s="24"/>
      <c r="E11" s="24"/>
      <c r="F11" s="25"/>
      <c r="G11" s="26" t="s">
        <v>17</v>
      </c>
      <c r="H11" s="27" t="s">
        <v>18</v>
      </c>
    </row>
    <row r="12" ht="19.5" customHeight="1">
      <c r="A12" s="12">
        <v>46366.0</v>
      </c>
      <c r="B12" s="13" t="s">
        <v>13</v>
      </c>
      <c r="C12" s="15"/>
      <c r="D12" s="14"/>
      <c r="E12" s="15"/>
      <c r="F12" s="14"/>
      <c r="G12" s="10" t="str">
        <f t="shared" ref="G12:G13" si="6">IF(OR(C12="",D12="",E12="",F12=""),"",(D12-C12)+(F12-E12))</f>
        <v/>
      </c>
      <c r="H12" s="11" t="str">
        <f t="shared" ref="H12:H13" si="7">IF(G12="","",MAX(0,G12-TIME(7,0,0)))</f>
        <v/>
      </c>
    </row>
    <row r="13" ht="19.5" customHeight="1">
      <c r="A13" s="6">
        <v>46367.0</v>
      </c>
      <c r="B13" s="7" t="s">
        <v>14</v>
      </c>
      <c r="C13" s="15"/>
      <c r="D13" s="14"/>
      <c r="E13" s="15"/>
      <c r="F13" s="14"/>
      <c r="G13" s="10" t="str">
        <f t="shared" si="6"/>
        <v/>
      </c>
      <c r="H13" s="11" t="str">
        <f t="shared" si="7"/>
        <v/>
      </c>
    </row>
    <row r="14" ht="21.75" customHeight="1">
      <c r="A14" s="17" t="s">
        <v>19</v>
      </c>
      <c r="B14" s="18"/>
      <c r="C14" s="19"/>
      <c r="D14" s="19"/>
      <c r="E14" s="19"/>
      <c r="F14" s="19"/>
      <c r="G14" s="20">
        <f>SUM(G9:G13)-TIME(7,0,0)</f>
        <v>-0.2916666667</v>
      </c>
      <c r="H14" s="21">
        <f>SUM(H9:H13)</f>
        <v>0</v>
      </c>
    </row>
    <row r="15" ht="19.5" customHeight="1">
      <c r="A15" s="6">
        <v>46370.0</v>
      </c>
      <c r="B15" s="7" t="s">
        <v>10</v>
      </c>
      <c r="C15" s="15"/>
      <c r="D15" s="14"/>
      <c r="E15" s="15"/>
      <c r="F15" s="14"/>
      <c r="G15" s="10" t="str">
        <f t="shared" ref="G15:G19" si="8">IF(OR(C15="",D15="",E15="",F15=""),"",(D15-C15)+(F15-E15))</f>
        <v/>
      </c>
      <c r="H15" s="11" t="str">
        <f t="shared" ref="H15:H19" si="9">IF(G15="","",MAX(0,G15-TIME(7,0,0)))</f>
        <v/>
      </c>
    </row>
    <row r="16" ht="19.5" customHeight="1">
      <c r="A16" s="12">
        <v>46371.0</v>
      </c>
      <c r="B16" s="13" t="s">
        <v>11</v>
      </c>
      <c r="C16" s="15"/>
      <c r="D16" s="14"/>
      <c r="E16" s="15"/>
      <c r="F16" s="14"/>
      <c r="G16" s="10" t="str">
        <f t="shared" si="8"/>
        <v/>
      </c>
      <c r="H16" s="11" t="str">
        <f t="shared" si="9"/>
        <v/>
      </c>
    </row>
    <row r="17" ht="19.5" customHeight="1">
      <c r="A17" s="6">
        <v>46372.0</v>
      </c>
      <c r="B17" s="7" t="s">
        <v>12</v>
      </c>
      <c r="C17" s="15"/>
      <c r="D17" s="14"/>
      <c r="E17" s="15"/>
      <c r="F17" s="14"/>
      <c r="G17" s="10" t="str">
        <f t="shared" si="8"/>
        <v/>
      </c>
      <c r="H17" s="11" t="str">
        <f t="shared" si="9"/>
        <v/>
      </c>
    </row>
    <row r="18" ht="19.5" customHeight="1">
      <c r="A18" s="12">
        <v>46373.0</v>
      </c>
      <c r="B18" s="13" t="s">
        <v>13</v>
      </c>
      <c r="C18" s="15"/>
      <c r="D18" s="14"/>
      <c r="E18" s="15"/>
      <c r="F18" s="14"/>
      <c r="G18" s="10" t="str">
        <f t="shared" si="8"/>
        <v/>
      </c>
      <c r="H18" s="11" t="str">
        <f t="shared" si="9"/>
        <v/>
      </c>
    </row>
    <row r="19" ht="19.5" customHeight="1">
      <c r="A19" s="6">
        <v>46374.0</v>
      </c>
      <c r="B19" s="7" t="s">
        <v>14</v>
      </c>
      <c r="C19" s="15"/>
      <c r="D19" s="14"/>
      <c r="E19" s="15"/>
      <c r="F19" s="14"/>
      <c r="G19" s="10" t="str">
        <f t="shared" si="8"/>
        <v/>
      </c>
      <c r="H19" s="11" t="str">
        <f t="shared" si="9"/>
        <v/>
      </c>
    </row>
    <row r="20" ht="21.75" customHeight="1">
      <c r="A20" s="17" t="s">
        <v>20</v>
      </c>
      <c r="B20" s="18"/>
      <c r="C20" s="19"/>
      <c r="D20" s="19"/>
      <c r="E20" s="19"/>
      <c r="F20" s="19"/>
      <c r="G20" s="20">
        <f t="shared" ref="G20:H20" si="10">SUM(G15:G19)</f>
        <v>0</v>
      </c>
      <c r="H20" s="21">
        <f t="shared" si="10"/>
        <v>0</v>
      </c>
    </row>
    <row r="21" ht="19.5" customHeight="1">
      <c r="A21" s="6">
        <v>46377.0</v>
      </c>
      <c r="B21" s="7" t="s">
        <v>10</v>
      </c>
      <c r="C21" s="15"/>
      <c r="D21" s="14"/>
      <c r="E21" s="15"/>
      <c r="F21" s="14"/>
      <c r="G21" s="10" t="str">
        <f t="shared" ref="G21:G22" si="11">IF(OR(C21="",D21="",E21="",F21=""),"",(D21-C21)+(F21-E21))</f>
        <v/>
      </c>
      <c r="H21" s="11" t="str">
        <f t="shared" ref="H21:H22" si="12">IF(G21="","",MAX(0,G21-TIME(7,0,0)))</f>
        <v/>
      </c>
    </row>
    <row r="22" ht="19.5" customHeight="1">
      <c r="A22" s="12">
        <v>46378.0</v>
      </c>
      <c r="B22" s="13" t="s">
        <v>11</v>
      </c>
      <c r="C22" s="15"/>
      <c r="D22" s="14"/>
      <c r="E22" s="15"/>
      <c r="F22" s="14"/>
      <c r="G22" s="10" t="str">
        <f t="shared" si="11"/>
        <v/>
      </c>
      <c r="H22" s="11" t="str">
        <f t="shared" si="12"/>
        <v/>
      </c>
    </row>
    <row r="23" ht="19.5" customHeight="1">
      <c r="A23" s="22">
        <v>46379.0</v>
      </c>
      <c r="B23" s="23" t="s">
        <v>16</v>
      </c>
      <c r="C23" s="24"/>
      <c r="D23" s="24"/>
      <c r="E23" s="24"/>
      <c r="F23" s="25"/>
      <c r="G23" s="26" t="s">
        <v>17</v>
      </c>
      <c r="H23" s="27" t="s">
        <v>18</v>
      </c>
    </row>
    <row r="24" ht="19.5" customHeight="1">
      <c r="A24" s="12">
        <v>46380.0</v>
      </c>
      <c r="B24" s="13" t="s">
        <v>13</v>
      </c>
      <c r="C24" s="15"/>
      <c r="D24" s="14"/>
      <c r="E24" s="15"/>
      <c r="F24" s="14"/>
      <c r="G24" s="10" t="str">
        <f t="shared" ref="G24:G25" si="13">IF(OR(C24="",D24="",E24="",F24=""),"",(D24-C24)+(F24-E24))</f>
        <v/>
      </c>
      <c r="H24" s="11" t="str">
        <f t="shared" ref="H24:H25" si="14">IF(G24="","",MAX(0,G24-TIME(7,0,0)))</f>
        <v/>
      </c>
    </row>
    <row r="25" ht="19.5" customHeight="1">
      <c r="A25" s="6">
        <v>46381.0</v>
      </c>
      <c r="B25" s="7" t="s">
        <v>14</v>
      </c>
      <c r="C25" s="15"/>
      <c r="D25" s="14"/>
      <c r="E25" s="15"/>
      <c r="F25" s="14"/>
      <c r="G25" s="10" t="str">
        <f t="shared" si="13"/>
        <v/>
      </c>
      <c r="H25" s="11" t="str">
        <f t="shared" si="14"/>
        <v/>
      </c>
    </row>
    <row r="26" ht="21.75" customHeight="1">
      <c r="A26" s="17" t="s">
        <v>21</v>
      </c>
      <c r="B26" s="18"/>
      <c r="C26" s="19"/>
      <c r="D26" s="19"/>
      <c r="E26" s="19"/>
      <c r="F26" s="19"/>
      <c r="G26" s="20">
        <f>SUM(G21:G25)-TIME(7,0,0)</f>
        <v>-0.2916666667</v>
      </c>
      <c r="H26" s="21">
        <f>SUM(H21:H25)</f>
        <v>0</v>
      </c>
    </row>
    <row r="27" ht="19.5" customHeight="1">
      <c r="A27" s="6">
        <v>46384.0</v>
      </c>
      <c r="B27" s="7" t="s">
        <v>10</v>
      </c>
      <c r="C27" s="15"/>
      <c r="D27" s="14"/>
      <c r="E27" s="15"/>
      <c r="F27" s="14"/>
      <c r="G27" s="10" t="str">
        <f t="shared" ref="G27:G30" si="15">IF(OR(C27="",D27="",E27="",F27=""),"",(D27-C27)+(F27-E27))</f>
        <v/>
      </c>
      <c r="H27" s="11" t="str">
        <f t="shared" ref="H27:H30" si="16">IF(G27="","",MAX(0,G27-TIME(7,0,0)))</f>
        <v/>
      </c>
    </row>
    <row r="28" ht="19.5" customHeight="1">
      <c r="A28" s="12">
        <v>46385.0</v>
      </c>
      <c r="B28" s="13" t="s">
        <v>11</v>
      </c>
      <c r="C28" s="15"/>
      <c r="D28" s="14"/>
      <c r="E28" s="15"/>
      <c r="F28" s="14"/>
      <c r="G28" s="10" t="str">
        <f t="shared" si="15"/>
        <v/>
      </c>
      <c r="H28" s="11" t="str">
        <f t="shared" si="16"/>
        <v/>
      </c>
    </row>
    <row r="29" ht="19.5" customHeight="1">
      <c r="A29" s="6">
        <v>46386.0</v>
      </c>
      <c r="B29" s="7" t="s">
        <v>12</v>
      </c>
      <c r="C29" s="15"/>
      <c r="D29" s="14"/>
      <c r="E29" s="15"/>
      <c r="F29" s="14"/>
      <c r="G29" s="10" t="str">
        <f t="shared" si="15"/>
        <v/>
      </c>
      <c r="H29" s="11" t="str">
        <f t="shared" si="16"/>
        <v/>
      </c>
    </row>
    <row r="30" ht="19.5" customHeight="1">
      <c r="A30" s="12">
        <v>46387.0</v>
      </c>
      <c r="B30" s="13" t="s">
        <v>13</v>
      </c>
      <c r="C30" s="15"/>
      <c r="D30" s="14"/>
      <c r="E30" s="15"/>
      <c r="F30" s="14"/>
      <c r="G30" s="10" t="str">
        <f t="shared" si="15"/>
        <v/>
      </c>
      <c r="H30" s="11" t="str">
        <f t="shared" si="16"/>
        <v/>
      </c>
    </row>
    <row r="31" ht="21.75" customHeight="1">
      <c r="A31" s="17" t="s">
        <v>22</v>
      </c>
      <c r="B31" s="18"/>
      <c r="C31" s="19"/>
      <c r="D31" s="19"/>
      <c r="E31" s="19"/>
      <c r="F31" s="19"/>
      <c r="G31" s="20">
        <f t="shared" ref="G31:H31" si="17">SUM(G27:G30)</f>
        <v>0</v>
      </c>
      <c r="H31" s="21">
        <f t="shared" si="17"/>
        <v>0</v>
      </c>
    </row>
    <row r="32" ht="25.5" customHeight="1">
      <c r="A32" s="28" t="s">
        <v>36</v>
      </c>
      <c r="B32" s="29"/>
      <c r="C32" s="29"/>
      <c r="D32" s="29"/>
      <c r="E32" s="29"/>
      <c r="F32" s="30"/>
      <c r="G32" s="31">
        <f t="shared" ref="G32:H32" si="18">G8+G14+G20+G26+G31</f>
        <v>-0.5833333333</v>
      </c>
      <c r="H32" s="32">
        <f t="shared" si="18"/>
        <v>0</v>
      </c>
    </row>
    <row r="33" ht="15.75" customHeight="1"/>
    <row r="34" ht="15.75" customHeight="1">
      <c r="A34" s="33" t="s">
        <v>24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6:B26"/>
    <mergeCell ref="A31:B31"/>
    <mergeCell ref="A32:F32"/>
    <mergeCell ref="A34:H34"/>
    <mergeCell ref="A1:H1"/>
    <mergeCell ref="A2:H2"/>
    <mergeCell ref="A8:B8"/>
    <mergeCell ref="B11:F11"/>
    <mergeCell ref="A14:B14"/>
    <mergeCell ref="A20:B20"/>
    <mergeCell ref="B23:F2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5"/>
    <col customWidth="1" min="2" max="2" width="11.0"/>
    <col customWidth="1" min="3" max="4" width="14.0"/>
    <col customWidth="1" min="5" max="5" width="13.0"/>
    <col customWidth="1" min="6" max="7" width="12.0"/>
    <col customWidth="1" min="8" max="8" width="13.0"/>
    <col customWidth="1" hidden="1" min="9" max="10" width="0.13"/>
    <col customWidth="1" min="11" max="26" width="14.38"/>
  </cols>
  <sheetData>
    <row r="1" ht="36.0" customHeight="1">
      <c r="A1" s="34" t="s">
        <v>37</v>
      </c>
      <c r="B1" s="2"/>
      <c r="C1" s="2"/>
      <c r="D1" s="2"/>
      <c r="E1" s="2"/>
      <c r="F1" s="2"/>
      <c r="G1" s="2"/>
      <c r="H1" s="2"/>
    </row>
    <row r="2" ht="13.5" customHeight="1">
      <c r="A2" s="3" t="s">
        <v>38</v>
      </c>
      <c r="B2" s="2"/>
      <c r="C2" s="2"/>
      <c r="D2" s="2"/>
      <c r="E2" s="2"/>
      <c r="F2" s="2"/>
      <c r="G2" s="2"/>
      <c r="H2" s="2"/>
    </row>
    <row r="4" ht="24.0" customHeight="1">
      <c r="A4" s="35" t="s">
        <v>39</v>
      </c>
      <c r="B4" s="2"/>
      <c r="C4" s="2"/>
      <c r="D4" s="2"/>
      <c r="E4" s="2"/>
      <c r="F4" s="2"/>
      <c r="G4" s="2"/>
      <c r="H4" s="2"/>
    </row>
    <row r="5" ht="31.5" customHeight="1">
      <c r="A5" s="36" t="s">
        <v>40</v>
      </c>
      <c r="B5" s="36" t="s">
        <v>41</v>
      </c>
      <c r="C5" s="36" t="s">
        <v>42</v>
      </c>
      <c r="D5" s="36" t="s">
        <v>43</v>
      </c>
      <c r="E5" s="36" t="s">
        <v>44</v>
      </c>
      <c r="F5" s="36" t="s">
        <v>45</v>
      </c>
      <c r="G5" s="36" t="s">
        <v>46</v>
      </c>
      <c r="H5" s="36" t="s">
        <v>47</v>
      </c>
    </row>
    <row r="6" ht="19.5" customHeight="1">
      <c r="A6" s="37" t="s">
        <v>48</v>
      </c>
      <c r="B6" s="38">
        <f>COUNTIF(Juin!C4:C29,"&lt;&gt;")</f>
        <v>2</v>
      </c>
      <c r="C6" s="10">
        <f>Juin!G31</f>
        <v>-0.3409722222</v>
      </c>
      <c r="D6" s="11">
        <f>Juin!H31</f>
        <v>0.07569444444</v>
      </c>
      <c r="E6" s="39">
        <f t="shared" ref="E6:E13" si="2">IFERROR(C6/B6,"")</f>
        <v>-0.1704861111</v>
      </c>
      <c r="F6" s="14">
        <f>IFERROR(AVERAGEIF(Juin!C4:C29,"&lt;&gt;"),"")</f>
        <v>0.2909722222</v>
      </c>
      <c r="G6" s="14">
        <f>IFERROR(AVERAGEIF(Juin!F4:F29,"&lt;&gt;"),"")</f>
        <v>0.6979166667</v>
      </c>
      <c r="H6" s="39">
        <f>IFERROR(AVERAGEIF(Juin!E4:E29,"&lt;&gt;")-AVERAGEIF(Juin!D4:D29,"&lt;&gt;"),"")</f>
        <v>0.04375</v>
      </c>
      <c r="I6" s="40">
        <f t="shared" ref="I6:J6" si="1">IFERROR(C6*24,0)</f>
        <v>-8.183333333</v>
      </c>
      <c r="J6" s="40">
        <f t="shared" si="1"/>
        <v>1.816666667</v>
      </c>
    </row>
    <row r="7" ht="19.5" customHeight="1">
      <c r="A7" s="41" t="s">
        <v>49</v>
      </c>
      <c r="B7" s="42">
        <f>COUNTIF(Juillet!C4:C30,"&lt;&gt;")</f>
        <v>0</v>
      </c>
      <c r="C7" s="10">
        <f>Juillet!G32</f>
        <v>-0.5833333333</v>
      </c>
      <c r="D7" s="11">
        <f>Juillet!H32</f>
        <v>0</v>
      </c>
      <c r="E7" s="43" t="str">
        <f t="shared" si="2"/>
        <v/>
      </c>
      <c r="F7" s="44" t="str">
        <f>IFERROR(AVERAGEIF(Juillet!C4:C30,"&lt;&gt;"),"")</f>
        <v/>
      </c>
      <c r="G7" s="44" t="str">
        <f>IFERROR(AVERAGEIF(Juillet!F4:F30,"&lt;&gt;"),"")</f>
        <v/>
      </c>
      <c r="H7" s="43" t="str">
        <f>IFERROR(AVERAGEIF(Juillet!E4:E30,"&lt;&gt;")-AVERAGEIF(Juillet!D4:D30,"&lt;&gt;"),"")</f>
        <v/>
      </c>
      <c r="I7" s="40">
        <f t="shared" ref="I7:J7" si="3">IFERROR(C7*24,0)</f>
        <v>-14</v>
      </c>
      <c r="J7" s="40">
        <f t="shared" si="3"/>
        <v>0</v>
      </c>
    </row>
    <row r="8" ht="19.5" customHeight="1">
      <c r="A8" s="37" t="s">
        <v>50</v>
      </c>
      <c r="B8" s="38">
        <f>COUNTIF('Août'!C4:C28,"&lt;&gt;")</f>
        <v>0</v>
      </c>
      <c r="C8" s="10">
        <f>'Août'!G30</f>
        <v>-0.5833333333</v>
      </c>
      <c r="D8" s="11">
        <f>'Août'!H30</f>
        <v>0</v>
      </c>
      <c r="E8" s="39" t="str">
        <f t="shared" si="2"/>
        <v/>
      </c>
      <c r="F8" s="14" t="str">
        <f>IFERROR(AVERAGEIF('Août'!C4:C28,"&lt;&gt;"),"")</f>
        <v/>
      </c>
      <c r="G8" s="14" t="str">
        <f>IFERROR(AVERAGEIF('Août'!F4:F28,"&lt;&gt;"),"")</f>
        <v/>
      </c>
      <c r="H8" s="39" t="str">
        <f>IFERROR(AVERAGEIF('Août'!E4:E28,"&lt;&gt;")-AVERAGEIF('Août'!D4:D28,"&lt;&gt;"),"")</f>
        <v/>
      </c>
      <c r="I8" s="40">
        <f t="shared" ref="I8:J8" si="4">IFERROR(C8*24,0)</f>
        <v>-14</v>
      </c>
      <c r="J8" s="40">
        <f t="shared" si="4"/>
        <v>0</v>
      </c>
    </row>
    <row r="9" ht="19.5" customHeight="1">
      <c r="A9" s="41" t="s">
        <v>51</v>
      </c>
      <c r="B9" s="42">
        <f>COUNTIF(Septembre!C4:C29,"&lt;&gt;")</f>
        <v>0</v>
      </c>
      <c r="C9" s="10">
        <f>Septembre!G31</f>
        <v>-0.875</v>
      </c>
      <c r="D9" s="11">
        <f>Septembre!H31</f>
        <v>0</v>
      </c>
      <c r="E9" s="43" t="str">
        <f t="shared" si="2"/>
        <v/>
      </c>
      <c r="F9" s="44" t="str">
        <f>IFERROR(AVERAGEIF(Septembre!C4:C29,"&lt;&gt;"),"")</f>
        <v/>
      </c>
      <c r="G9" s="44" t="str">
        <f>IFERROR(AVERAGEIF(Septembre!F4:F29,"&lt;&gt;"),"")</f>
        <v/>
      </c>
      <c r="H9" s="43" t="str">
        <f>IFERROR(AVERAGEIF(Septembre!E4:E29,"&lt;&gt;")-AVERAGEIF(Septembre!D4:D29,"&lt;&gt;"),"")</f>
        <v/>
      </c>
      <c r="I9" s="40">
        <f t="shared" ref="I9:J9" si="5">IFERROR(C9*24,0)</f>
        <v>-21</v>
      </c>
      <c r="J9" s="40">
        <f t="shared" si="5"/>
        <v>0</v>
      </c>
    </row>
    <row r="10" ht="19.5" customHeight="1">
      <c r="A10" s="37" t="s">
        <v>52</v>
      </c>
      <c r="B10" s="38">
        <f>COUNTIF(Octobre!C4:C29,"&lt;&gt;")</f>
        <v>0</v>
      </c>
      <c r="C10" s="10">
        <f>Octobre!G31</f>
        <v>-0.5833333333</v>
      </c>
      <c r="D10" s="11">
        <f>Octobre!H31</f>
        <v>0</v>
      </c>
      <c r="E10" s="39" t="str">
        <f t="shared" si="2"/>
        <v/>
      </c>
      <c r="F10" s="14" t="str">
        <f>IFERROR(AVERAGEIF(Octobre!C4:C29,"&lt;&gt;"),"")</f>
        <v/>
      </c>
      <c r="G10" s="14" t="str">
        <f>IFERROR(AVERAGEIF(Octobre!F4:F29,"&lt;&gt;"),"")</f>
        <v/>
      </c>
      <c r="H10" s="39" t="str">
        <f>IFERROR(AVERAGEIF(Octobre!E4:E29,"&lt;&gt;")-AVERAGEIF(Octobre!D4:D29,"&lt;&gt;"),"")</f>
        <v/>
      </c>
      <c r="I10" s="40">
        <f t="shared" ref="I10:J10" si="6">IFERROR(C10*24,0)</f>
        <v>-14</v>
      </c>
      <c r="J10" s="40">
        <f t="shared" si="6"/>
        <v>0</v>
      </c>
    </row>
    <row r="11" ht="19.5" customHeight="1">
      <c r="A11" s="41" t="s">
        <v>53</v>
      </c>
      <c r="B11" s="42">
        <f>COUNTIF(Novembre!C4:C28,"&lt;&gt;")</f>
        <v>0</v>
      </c>
      <c r="C11" s="10">
        <f>Novembre!G30</f>
        <v>-0.5833333333</v>
      </c>
      <c r="D11" s="11">
        <f>Novembre!H30</f>
        <v>0</v>
      </c>
      <c r="E11" s="43" t="str">
        <f t="shared" si="2"/>
        <v/>
      </c>
      <c r="F11" s="44" t="str">
        <f>IFERROR(AVERAGEIF(Novembre!C4:C28,"&lt;&gt;"),"")</f>
        <v/>
      </c>
      <c r="G11" s="44" t="str">
        <f>IFERROR(AVERAGEIF(Novembre!F4:F28,"&lt;&gt;"),"")</f>
        <v/>
      </c>
      <c r="H11" s="43" t="str">
        <f>IFERROR(AVERAGEIF(Novembre!E4:E28,"&lt;&gt;")-AVERAGEIF(Novembre!D4:D28,"&lt;&gt;"),"")</f>
        <v/>
      </c>
      <c r="I11" s="40">
        <f t="shared" ref="I11:J11" si="7">IFERROR(C11*24,0)</f>
        <v>-14</v>
      </c>
      <c r="J11" s="40">
        <f t="shared" si="7"/>
        <v>0</v>
      </c>
    </row>
    <row r="12" ht="19.5" customHeight="1">
      <c r="A12" s="37" t="s">
        <v>54</v>
      </c>
      <c r="B12" s="38">
        <f>COUNTIF('Décembre'!C4:C30,"&lt;&gt;")</f>
        <v>0</v>
      </c>
      <c r="C12" s="10">
        <f>'Décembre'!G32</f>
        <v>-0.5833333333</v>
      </c>
      <c r="D12" s="11">
        <f>'Décembre'!H32</f>
        <v>0</v>
      </c>
      <c r="E12" s="39" t="str">
        <f t="shared" si="2"/>
        <v/>
      </c>
      <c r="F12" s="14" t="str">
        <f>IFERROR(AVERAGEIF('Décembre'!C4:C30,"&lt;&gt;"),"")</f>
        <v/>
      </c>
      <c r="G12" s="14" t="str">
        <f>IFERROR(AVERAGEIF('Décembre'!F4:F30,"&lt;&gt;"),"")</f>
        <v/>
      </c>
      <c r="H12" s="39" t="str">
        <f>IFERROR(AVERAGEIF('Décembre'!E4:E30,"&lt;&gt;")-AVERAGEIF('Décembre'!D4:D30,"&lt;&gt;"),"")</f>
        <v/>
      </c>
      <c r="I12" s="40">
        <f t="shared" ref="I12:J12" si="8">IFERROR(C12*24,0)</f>
        <v>-14</v>
      </c>
      <c r="J12" s="40">
        <f t="shared" si="8"/>
        <v>0</v>
      </c>
    </row>
    <row r="13" ht="24.0" customHeight="1">
      <c r="A13" s="45" t="s">
        <v>55</v>
      </c>
      <c r="B13" s="46">
        <f t="shared" ref="B13:D13" si="9">SUM(B6:B12)</f>
        <v>2</v>
      </c>
      <c r="C13" s="47">
        <f t="shared" si="9"/>
        <v>-4.132638889</v>
      </c>
      <c r="D13" s="48">
        <f t="shared" si="9"/>
        <v>0.07569444444</v>
      </c>
      <c r="E13" s="47">
        <f t="shared" si="2"/>
        <v>-2.066319444</v>
      </c>
      <c r="F13" s="49" t="s">
        <v>18</v>
      </c>
      <c r="G13" s="49" t="s">
        <v>18</v>
      </c>
      <c r="H13" s="49" t="s">
        <v>18</v>
      </c>
      <c r="I13" s="50">
        <f t="shared" ref="I13:J13" si="10">SUM(I6:I12)</f>
        <v>-99.18333333</v>
      </c>
      <c r="J13" s="50">
        <f t="shared" si="10"/>
        <v>1.816666667</v>
      </c>
    </row>
    <row r="15" ht="24.0" customHeight="1">
      <c r="A15" s="35" t="s">
        <v>56</v>
      </c>
      <c r="B15" s="2"/>
      <c r="C15" s="2"/>
      <c r="D15" s="2"/>
      <c r="E15" s="2"/>
      <c r="F15" s="2"/>
      <c r="G15" s="2"/>
      <c r="H15" s="2"/>
    </row>
    <row r="16" ht="39.75" customHeight="1">
      <c r="A16" s="51" t="s">
        <v>57</v>
      </c>
      <c r="B16" s="52"/>
      <c r="C16" s="51" t="s">
        <v>58</v>
      </c>
      <c r="D16" s="52"/>
      <c r="E16" s="51" t="s">
        <v>59</v>
      </c>
      <c r="F16" s="52"/>
      <c r="G16" s="51" t="s">
        <v>60</v>
      </c>
      <c r="H16" s="52"/>
    </row>
    <row r="17" ht="39.75" customHeight="1">
      <c r="A17" s="53" t="str">
        <f>IFERROR(TEXT(AVERAGEIF(Juin!C4:C100,"&lt;&gt;"),"HH:MM")&amp;" (moy. juin)","—")</f>
        <v>06:59 (moy. juin)</v>
      </c>
      <c r="B17" s="52"/>
      <c r="C17" s="53" t="str">
        <f t="array" ref="C17">IFERROR(INDEX(A6:A12,MATCH(MAX(D6:D12),D6:D12,0)),"—")</f>
        <v>Juin</v>
      </c>
      <c r="D17" s="52"/>
      <c r="E17" s="53" t="s">
        <v>61</v>
      </c>
      <c r="F17" s="52"/>
      <c r="G17" s="53" t="str">
        <f>IFERROR(B13&amp;" jours","—")</f>
        <v>2 jours</v>
      </c>
      <c r="H17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6:B16"/>
    <mergeCell ref="A17:B17"/>
    <mergeCell ref="C17:D17"/>
    <mergeCell ref="E17:F17"/>
    <mergeCell ref="G17:H17"/>
    <mergeCell ref="A1:H1"/>
    <mergeCell ref="A2:H2"/>
    <mergeCell ref="A4:H4"/>
    <mergeCell ref="A15:H15"/>
    <mergeCell ref="C16:D16"/>
    <mergeCell ref="E16:F16"/>
    <mergeCell ref="G16:H16"/>
  </mergeCells>
  <printOptions/>
  <pageMargins bottom="1.0" footer="0.0" header="0.0" left="0.75" right="0.75" top="1.0"/>
  <pageSetup paperSize="9" orientation="portrait"/>
  <drawing r:id="rId1"/>
</worksheet>
</file>