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in" state="visible" r:id="rId4"/>
    <sheet sheetId="2" name="Juillet" state="visible" r:id="rId5"/>
    <sheet sheetId="3" name="Août" state="visible" r:id="rId6"/>
    <sheet sheetId="4" name="Septembre" state="visible" r:id="rId7"/>
    <sheet sheetId="5" name="Octobre" state="visible" r:id="rId8"/>
    <sheet sheetId="6" name="Novembre" state="visible" r:id="rId9"/>
    <sheet sheetId="7" name="Décembre" state="visible" r:id="rId10"/>
    <sheet sheetId="8" name="📊 Tableau de Bord" state="visible" r:id="rId11"/>
  </sheets>
  <calcPr calcId="171027"/>
</workbook>
</file>

<file path=xl/sharedStrings.xml><?xml version="1.0" encoding="utf-8"?>
<sst xmlns="http://schemas.openxmlformats.org/spreadsheetml/2006/main" count="389" uniqueCount="83">
  <si>
    <t>⏱  SUIVI DES HEURES  –  JUIN 2026</t>
  </si>
  <si>
    <t>Saisir les horaires dans les colonnes bleues   |   Journée de référence : 7h   |   🔴 Mercredi semaine paire = non travaillé (-7h automatique)</t>
  </si>
  <si>
    <t>Prise de poste</t>
  </si>
  <si>
    <t>Début pause midi</t>
  </si>
  <si>
    <t>Fin pause midi</t>
  </si>
  <si>
    <t>Fin de poste</t>
  </si>
  <si>
    <t>Heures matin</t>
  </si>
  <si>
    <t>Heures après-midi</t>
  </si>
  <si>
    <t>Total heures</t>
  </si>
  <si>
    <t>Quota du jour</t>
  </si>
  <si>
    <t>Heures sup</t>
  </si>
  <si>
    <t>📅 Date</t>
  </si>
  <si>
    <t>Jour</t>
  </si>
  <si>
    <t xml:space="preserve">🌅 Début
matin</t>
  </si>
  <si>
    <t xml:space="preserve">🍽️  Début
pause</t>
  </si>
  <si>
    <t xml:space="preserve">🔄 Reprise
après-midi</t>
  </si>
  <si>
    <t xml:space="preserve">🌆 Fin
journée</t>
  </si>
  <si>
    <t xml:space="preserve">⏱️  Total
jour</t>
  </si>
  <si>
    <t xml:space="preserve">🔥 Heures
sup. (&gt;7h)</t>
  </si>
  <si>
    <t>Lundi</t>
  </si>
  <si>
    <t>Mardi</t>
  </si>
  <si>
    <t>Mercredi</t>
  </si>
  <si>
    <t>Jeudi</t>
  </si>
  <si>
    <t>Vendredi</t>
  </si>
  <si>
    <t>📊  Total – Semaine 1</t>
  </si>
  <si>
    <t>🔴  Mercredi non travaillé  –  Déduction : -7h00</t>
  </si>
  <si>
    <t>-7:00</t>
  </si>
  <si>
    <t>—</t>
  </si>
  <si>
    <t>📊  Total – Semaine 2</t>
  </si>
  <si>
    <t>📊  Total – Semaine 3</t>
  </si>
  <si>
    <t>📊  Total – Semaine 4</t>
  </si>
  <si>
    <t>📊  Total – Semaine 5</t>
  </si>
  <si>
    <t>📆  TOTAL MENSUEL – JUIN 2026</t>
  </si>
  <si>
    <t>18/05/2026</t>
  </si>
  <si>
    <t>06:00</t>
  </si>
  <si>
    <t>17:00</t>
  </si>
  <si>
    <t>19/05/2026</t>
  </si>
  <si>
    <t>20/05/2026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</si>
  <si>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</si>
  <si>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</si>
  <si>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</si>
  <si>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</si>
  <si>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</si>
  <si>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</si>
  <si>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</si>
  <si>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⏱  SUIVI DES HEURES  –  JUILLET 2026</t>
  </si>
  <si>
    <t>📆  TOTAL MENSUEL – JUILLET 2026</t>
  </si>
  <si>
    <t>💡 Bleu = à saisir  |  Violet = total calculé  |  Jaune = heures sup.  |  🔴 Rouge = mercredi non travaillé</t>
  </si>
  <si>
    <t>⏱  SUIVI DES HEURES  –  AOÛT 2026</t>
  </si>
  <si>
    <t>📆  TOTAL MENSUEL – AOÛT 2026</t>
  </si>
  <si>
    <t>⏱  SUIVI DES HEURES  –  SEPTEMBRE 2026</t>
  </si>
  <si>
    <t>📆  TOTAL MENSUEL – SEPTEMBRE 2026</t>
  </si>
  <si>
    <t>⏱  SUIVI DES HEURES  –  OCTOBRE 2026</t>
  </si>
  <si>
    <t>📆  TOTAL MENSUEL – OCTOBRE 2026</t>
  </si>
  <si>
    <t>⏱  SUIVI DES HEURES  –  NOVEMBRE 2026</t>
  </si>
  <si>
    <t>📆  TOTAL MENSUEL – NOVEMBRE 2026</t>
  </si>
  <si>
    <t>⏱  SUIVI DES HEURES  –  DÉCEMBRE 2026</t>
  </si>
  <si>
    <t>📆  TOTAL MENSUEL – DÉCEMBRE 2026</t>
  </si>
  <si>
    <t>📊  TABLEAU DE BORD  –  SUIVI DES HEURES 2026</t>
  </si>
  <si>
    <t>Les données se mettent à jour automatiquement dès que vous saisissez vos heures</t>
  </si>
  <si>
    <t>📈  RÉCAPITULATIF MENSUEL</t>
  </si>
  <si>
    <t>Mois</t>
  </si>
  <si>
    <t xml:space="preserve">Jours
saisis</t>
  </si>
  <si>
    <t xml:space="preserve">Heures
travaillées</t>
  </si>
  <si>
    <t xml:space="preserve">Heures
sup.</t>
  </si>
  <si>
    <t xml:space="preserve">Moy.
par jour</t>
  </si>
  <si>
    <t xml:space="preserve">Arrivée
moyenne</t>
  </si>
  <si>
    <t xml:space="preserve">Départ
moyen</t>
  </si>
  <si>
    <t xml:space="preserve">Pause
moyenne</t>
  </si>
  <si>
    <t>Juin</t>
  </si>
  <si>
    <t>Juillet</t>
  </si>
  <si>
    <t>Août</t>
  </si>
  <si>
    <t>Septembre</t>
  </si>
  <si>
    <t>Octobre</t>
  </si>
  <si>
    <t>Novembre</t>
  </si>
  <si>
    <t>Décembre</t>
  </si>
  <si>
    <t>📆 TOTAL ANNUEL</t>
  </si>
  <si>
    <t>🏆  INDICATEURS CLÉS</t>
  </si>
  <si>
    <t>🌅 Arrivée la plus fréquente</t>
  </si>
  <si>
    <t>📊 Mois avec le + d'heures sup</t>
  </si>
  <si>
    <t>⏱️ Meilleure semaine</t>
  </si>
  <si>
    <t>📅 Jours saisis au total</t>
  </si>
  <si>
    <t>"Voir feuille mensuelle"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</si>
</sst>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hh:mm"/>
    <numFmt numFmtId="166" formatCode="[h]:mm"/>
    <numFmt numFmtId="167" formatCode="0.0"/>
  </numFmts>
  <fonts count="23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/>
    <font>
      <i/>
      <color rgb="FF595959"/>
      <sz val="9"/>
      <name val="Arial"/>
    </font>
    <font>
      <b/>
      <color rgb="FFFFFFFF"/>
      <sz val="10"/>
      <name val="Arial"/>
    </font>
    <font>
      <b/>
      <color rgb="FF1F4E79"/>
      <sz val="11"/>
      <name val="Arial"/>
    </font>
    <font>
      <color rgb="FF595959"/>
      <sz val="10"/>
      <name val="Arial"/>
    </font>
    <font>
      <color rgb="FF1F4E79"/>
      <sz val="11"/>
      <name val="Arial"/>
    </font>
    <font>
      <b/>
      <color rgb="FF7F6000"/>
      <sz val="11"/>
      <name val="Arial"/>
    </font>
    <font>
      <b/>
      <color rgb="FF1F4E79"/>
      <sz val="10"/>
      <name val="Arial"/>
    </font>
    <font>
      <color theme="1"/>
      <sz val="11"/>
      <name val="Calibri"/>
    </font>
    <font>
      <b/>
      <color rgb="FFC00000"/>
      <sz val="11"/>
      <name val="Arial"/>
    </font>
    <font>
      <b/>
      <color rgb="FFC00000"/>
      <sz val="10"/>
      <name val="Arial"/>
    </font>
    <font>
      <color rgb="FFC00000"/>
      <sz val="11"/>
      <name val="Arial"/>
    </font>
    <font>
      <b/>
      <color rgb="FFFFFFFF"/>
      <sz val="12"/>
      <name val="Arial"/>
    </font>
    <font>
      <b/>
      <color rgb="FFFFFF00"/>
      <sz val="12"/>
      <name val="Arial"/>
    </font>
    <font>
      <b/>
      <color rgb="FFFFFFFF"/>
      <sz val="15"/>
      <name val="Arial"/>
    </font>
    <font>
      <b/>
      <color rgb="FF1F4E79"/>
      <sz val="12"/>
      <name val="Arial"/>
    </font>
    <font>
      <b/>
      <color rgb="FFFFFFFF"/>
      <sz val="9"/>
      <name val="Arial"/>
    </font>
    <font>
      <b/>
      <color rgb="FFFFFFFF"/>
      <sz val="11"/>
      <name val="Arial"/>
    </font>
    <font>
      <b/>
      <color rgb="FFFFFF00"/>
      <sz val="11"/>
      <name val="Arial"/>
    </font>
    <font>
      <color rgb="FFFFFFFF"/>
      <sz val="11"/>
      <name val="Arial"/>
    </font>
    <font>
      <color theme="1"/>
      <scheme val="minor"/>
      <name val="Arial"/>
    </font>
  </fonts>
  <fills count="17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1F4E79"/>
        <bgColor rgb="FF1F4E79"/>
      </patternFill>
    </fill>
    <fill>
      <patternFill patternType="solid">
        <fgColor rgb="FF7F6000"/>
        <bgColor rgb="FF7F6000"/>
      </patternFill>
    </fill>
    <fill>
      <patternFill patternType="solid">
        <fgColor rgb="FFEBF3FB"/>
        <bgColor rgb="FFEBF3FB"/>
      </patternFill>
    </fill>
    <fill>
      <patternFill patternType="solid">
        <fgColor rgb="FFD6E4F0"/>
        <bgColor rgb="FFD6E4F0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FFE699"/>
        <bgColor rgb="FFFFE699"/>
      </patternFill>
    </fill>
    <fill>
      <patternFill patternType="solid">
        <fgColor rgb="FFFFD7D7"/>
        <bgColor rgb="FFFFD7D7"/>
      </patternFill>
    </fill>
    <fill>
      <patternFill patternType="solid">
        <fgColor rgb="FF375623"/>
        <bgColor rgb="FF375623"/>
      </patternFill>
    </fill>
    <fill>
      <patternFill patternType="solid">
        <fgColor rgb="FF1F3864"/>
        <bgColor rgb="FF1F3864"/>
      </patternFill>
    </fill>
    <fill>
      <patternFill patternType="solid">
        <fgColor rgb="FF2E4057"/>
        <bgColor rgb="FF2E4057"/>
      </patternFill>
    </fill>
  </fills>
  <borders count="13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/>
      <top style="thin">
        <color rgb="FF9DC3E6"/>
      </top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medium">
        <color rgb="FF1F4E79"/>
      </left>
      <right/>
      <top style="medium">
        <color rgb="FF1F4E79"/>
      </top>
      <bottom style="medium">
        <color rgb="FF1F4E79"/>
      </bottom>
      <diagonal/>
    </border>
    <border>
      <left/>
      <right/>
      <top style="medium">
        <color rgb="FF1F4E79"/>
      </top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thin">
        <color rgb="FF9DC3E6"/>
      </top>
      <bottom style="thin">
        <color rgb="FF9DC3E6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 readingOrder="1"/>
    </xf>
    <xf numFmtId="165" fontId="7" fillId="6" borderId="1" xfId="0" applyNumberFormat="1" applyFont="1" applyFill="1" applyBorder="1" applyAlignment="1">
      <alignment horizontal="center" vertical="center" readingOrder="1"/>
    </xf>
    <xf numFmtId="166" fontId="5" fillId="8" borderId="1" xfId="0" applyNumberFormat="1" applyFont="1" applyFill="1" applyBorder="1" applyAlignment="1">
      <alignment horizontal="center" vertical="center"/>
    </xf>
    <xf numFmtId="166" fontId="8" fillId="9" borderId="1" xfId="0" applyNumberFormat="1" applyFont="1" applyFill="1" applyBorder="1" applyAlignment="1">
      <alignment horizontal="center" vertical="center"/>
    </xf>
    <xf numFmtId="164" fontId="5" fillId="10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166" fontId="5" fillId="8" borderId="1" xfId="0" applyNumberFormat="1" applyFont="1" applyFill="1" applyBorder="1" applyAlignment="1">
      <alignment horizontal="center" vertical="center" readingOrder="1"/>
    </xf>
    <xf numFmtId="0" fontId="9" fillId="11" borderId="2" xfId="0" applyFont="1" applyFill="1" applyBorder="1" applyAlignment="1">
      <alignment horizontal="left" vertical="center"/>
    </xf>
    <xf numFmtId="0" fontId="2" fillId="0" borderId="3" xfId="0" applyFont="1" applyBorder="1"/>
    <xf numFmtId="0" fontId="10" fillId="11" borderId="1" xfId="0" applyFont="1" applyFill="1" applyBorder="1" applyAlignment="1">
      <alignment vertical="bottom"/>
    </xf>
    <xf numFmtId="166" fontId="5" fillId="11" borderId="1" xfId="0" applyNumberFormat="1" applyFont="1" applyFill="1" applyBorder="1" applyAlignment="1">
      <alignment horizontal="center" vertical="center"/>
    </xf>
    <xf numFmtId="166" fontId="8" fillId="12" borderId="1" xfId="0" applyNumberFormat="1" applyFont="1" applyFill="1" applyBorder="1" applyAlignment="1">
      <alignment horizontal="center" vertical="center"/>
    </xf>
    <xf numFmtId="164" fontId="11" fillId="13" borderId="4" xfId="0" applyNumberFormat="1" applyFont="1" applyFill="1" applyBorder="1" applyAlignment="1">
      <alignment horizontal="center" vertical="center"/>
    </xf>
    <xf numFmtId="0" fontId="12" fillId="13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1" fillId="13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0" fontId="14" fillId="14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166" fontId="14" fillId="14" borderId="11" xfId="0" applyNumberFormat="1" applyFont="1" applyFill="1" applyBorder="1" applyAlignment="1">
      <alignment horizontal="center" vertical="center"/>
    </xf>
    <xf numFmtId="166" fontId="15" fillId="5" borderId="11" xfId="0" applyNumberFormat="1" applyFont="1" applyFill="1" applyBorder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0" fontId="3" fillId="0" borderId="0" xfId="0" applyFont="1" applyAlignment="1">
      <alignment horizontal="left" vertical="center"/>
    </xf>
    <xf numFmtId="0" fontId="16" fillId="15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left" vertical="center"/>
    </xf>
    <xf numFmtId="0" fontId="18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6" fontId="7" fillId="6" borderId="1" xfId="0" applyNumberFormat="1" applyFont="1" applyFill="1" applyBorder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166" fontId="7" fillId="10" borderId="1" xfId="0" applyNumberFormat="1" applyFont="1" applyFill="1" applyBorder="1" applyAlignment="1">
      <alignment horizontal="center" vertical="center"/>
    </xf>
    <xf numFmtId="165" fontId="7" fillId="10" borderId="1" xfId="0" applyNumberFormat="1" applyFont="1" applyFill="1" applyBorder="1" applyAlignment="1">
      <alignment horizontal="center" vertical="center"/>
    </xf>
    <xf numFmtId="0" fontId="4" fillId="14" borderId="11" xfId="0" applyFont="1" applyFill="1" applyBorder="1" applyAlignment="1">
      <alignment horizontal="center" vertical="center"/>
    </xf>
    <xf numFmtId="0" fontId="19" fillId="14" borderId="11" xfId="0" applyFont="1" applyFill="1" applyBorder="1" applyAlignment="1">
      <alignment horizontal="center" vertical="center"/>
    </xf>
    <xf numFmtId="166" fontId="19" fillId="14" borderId="11" xfId="0" applyNumberFormat="1" applyFont="1" applyFill="1" applyBorder="1" applyAlignment="1">
      <alignment horizontal="center" vertical="center"/>
    </xf>
    <xf numFmtId="166" fontId="20" fillId="14" borderId="11" xfId="0" applyNumberFormat="1" applyFont="1" applyFill="1" applyBorder="1" applyAlignment="1">
      <alignment horizontal="center" vertical="center"/>
    </xf>
    <xf numFmtId="0" fontId="21" fillId="14" borderId="11" xfId="0" applyFont="1" applyFill="1" applyBorder="1" applyAlignment="1">
      <alignment horizontal="center" vertical="center"/>
    </xf>
    <xf numFmtId="167" fontId="22" fillId="0" borderId="0" xfId="0" applyNumberFormat="1" applyFont="1"/>
    <xf numFmtId="0" fontId="18" fillId="16" borderId="2" xfId="0" applyFont="1" applyFill="1" applyBorder="1" applyAlignment="1">
      <alignment horizontal="center" vertical="center"/>
    </xf>
    <xf numFmtId="0" fontId="2" fillId="0" borderId="12" xfId="0" applyFont="1" applyBorder="1"/>
    <xf numFmtId="0" fontId="5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Q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9.88" customWidth="1"/>
    <col min="2" max="2" width="17.88" customWidth="1"/>
    <col min="3" max="3" width="18.75" customWidth="1"/>
    <col min="4" max="4" width="18.88" customWidth="1"/>
    <col min="5" max="5" width="18.13" customWidth="1"/>
    <col min="6" max="6" width="17.13" customWidth="1"/>
    <col min="7" max="7" width="18.75" customWidth="1"/>
    <col min="8" max="8" width="17.38" customWidth="1"/>
    <col min="9" max="26" width="14.38" customWidth="1"/>
  </cols>
  <sheetData>
    <row r="1" ht="31.5" customHeight="1" spans="1:8" x14ac:dyDescent="0.25">
      <c r="A1" s="1" t="s">
        <v>0</v>
      </c>
      <c r="B1" s="2"/>
      <c r="C1" s="2"/>
      <c r="D1" s="2"/>
      <c r="E1" s="2"/>
      <c r="F1" s="2"/>
      <c r="G1" s="2"/>
      <c r="H1" s="2"/>
    </row>
    <row r="2" ht="15.75" customHeight="1" spans="1:17" x14ac:dyDescent="0.25">
      <c r="A2" s="3" t="s">
        <v>1</v>
      </c>
      <c r="B2" s="2"/>
      <c r="C2" s="2"/>
      <c r="D2" s="2"/>
      <c r="E2" s="2"/>
      <c r="F2" s="2"/>
      <c r="G2" s="2"/>
      <c r="H2" s="2"/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t="s">
        <v>10</v>
      </c>
    </row>
    <row r="3" ht="36" customHeight="1" spans="1:8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</row>
    <row r="4" ht="19.5" customHeight="1" spans="1:8" x14ac:dyDescent="0.25">
      <c r="A4" s="6">
        <v>46174</v>
      </c>
      <c r="B4" s="7" t="s">
        <v>19</v>
      </c>
      <c r="C4" s="8">
        <v>0.2868055555554747</v>
      </c>
      <c r="D4" s="9">
        <v>0.4791666666678793</v>
      </c>
      <c r="E4" s="8">
        <v>0.5229166666649689</v>
      </c>
      <c r="F4" s="9">
        <v>0.6979166666678793</v>
      </c>
      <c r="G4" s="10">
        <f t="shared" ref="G4:G5" si="0">IF(OR(C4="",D4="",E4="",F4=""),"",(D4-C4)+(F4-E4))</f>
        <v>0.367361111111677</v>
      </c>
      <c r="H4" s="11">
        <f t="shared" ref="H4:H8" si="1">IF(G4="","",MAX(0,G4-TIME(7,0,0)))</f>
        <v>0.07569444444379769</v>
      </c>
    </row>
    <row r="5" ht="19.5" customHeight="1" spans="1:8" x14ac:dyDescent="0.25">
      <c r="A5" s="12">
        <v>46175</v>
      </c>
      <c r="B5" s="13" t="s">
        <v>20</v>
      </c>
      <c r="C5" s="8">
        <v>0.29513888889050577</v>
      </c>
      <c r="D5" s="14"/>
      <c r="E5" s="15"/>
      <c r="F5" s="14"/>
      <c r="G5" s="10">
        <f t="shared" si="0"/>
      </c>
      <c r="H5" s="11">
        <f t="shared" si="1"/>
      </c>
    </row>
    <row r="6" ht="19.5" customHeight="1" spans="1:8" x14ac:dyDescent="0.25">
      <c r="A6" s="6">
        <v>46176</v>
      </c>
      <c r="B6" s="7" t="s">
        <v>21</v>
      </c>
      <c r="C6" s="15"/>
      <c r="D6" s="14"/>
      <c r="E6" s="15"/>
      <c r="F6" s="14"/>
      <c r="G6" s="16">
        <v>-0.125</v>
      </c>
      <c r="H6" s="11">
        <f t="shared" si="1"/>
        <v>0</v>
      </c>
    </row>
    <row r="7" ht="19.5" customHeight="1" spans="1:8" x14ac:dyDescent="0.25">
      <c r="A7" s="12">
        <v>46177</v>
      </c>
      <c r="B7" s="13" t="s">
        <v>22</v>
      </c>
      <c r="C7" s="15"/>
      <c r="D7" s="14"/>
      <c r="E7" s="15"/>
      <c r="F7" s="14"/>
      <c r="G7" s="10">
        <f t="shared" ref="G7:G8" si="2">IF(OR(C7="",D7="",E7="",F7=""),"",(D7-C7)+(F7-E7))</f>
      </c>
      <c r="H7" s="11">
        <f t="shared" si="1"/>
      </c>
    </row>
    <row r="8" ht="19.5" customHeight="1" spans="1:8" x14ac:dyDescent="0.25">
      <c r="A8" s="6">
        <v>46178</v>
      </c>
      <c r="B8" s="7" t="s">
        <v>23</v>
      </c>
      <c r="C8" s="15"/>
      <c r="D8" s="14"/>
      <c r="E8" s="15"/>
      <c r="F8" s="14"/>
      <c r="G8" s="10">
        <f t="shared" si="2"/>
      </c>
      <c r="H8" s="11">
        <f t="shared" si="1"/>
      </c>
    </row>
    <row r="9" ht="21.75" customHeight="1" spans="1:8" x14ac:dyDescent="0.25">
      <c r="A9" s="17" t="s">
        <v>24</v>
      </c>
      <c r="B9" s="18"/>
      <c r="C9" s="19"/>
      <c r="D9" s="19"/>
      <c r="E9" s="19"/>
      <c r="F9" s="19"/>
      <c r="G9" s="20">
        <f t="shared" ref="G9:H9" si="3">SUM(G4:G8)</f>
        <v>0.24236111111167702</v>
      </c>
      <c r="H9" s="21">
        <f t="shared" si="3"/>
        <v>0.07569444444379769</v>
      </c>
    </row>
    <row r="10" ht="19.5" customHeight="1" spans="1:8" x14ac:dyDescent="0.25">
      <c r="A10" s="6">
        <v>46181</v>
      </c>
      <c r="B10" s="7" t="s">
        <v>19</v>
      </c>
      <c r="C10" s="15"/>
      <c r="D10" s="14"/>
      <c r="E10" s="15"/>
      <c r="F10" s="14"/>
      <c r="G10" s="10">
        <f t="shared" ref="G10:G11" si="4">IF(OR(C10="",D10="",E10="",F10=""),"",(D10-C10)+(F10-E10))</f>
      </c>
      <c r="H10" s="11">
        <f t="shared" ref="H10:H11" si="5">IF(G10="","",MAX(0,G10-TIME(7,0,0)))</f>
      </c>
    </row>
    <row r="11" ht="19.5" customHeight="1" spans="1:8" x14ac:dyDescent="0.25">
      <c r="A11" s="12">
        <v>46182</v>
      </c>
      <c r="B11" s="13" t="s">
        <v>20</v>
      </c>
      <c r="C11" s="15"/>
      <c r="D11" s="14"/>
      <c r="E11" s="15"/>
      <c r="F11" s="14"/>
      <c r="G11" s="10">
        <f t="shared" si="4"/>
      </c>
      <c r="H11" s="11">
        <f t="shared" si="5"/>
      </c>
    </row>
    <row r="12" ht="19.5" customHeight="1" spans="1:8" x14ac:dyDescent="0.25">
      <c r="A12" s="22">
        <v>46183</v>
      </c>
      <c r="B12" s="23" t="s">
        <v>25</v>
      </c>
      <c r="C12" s="24"/>
      <c r="D12" s="24"/>
      <c r="E12" s="24"/>
      <c r="F12" s="25"/>
      <c r="G12" s="26" t="s">
        <v>26</v>
      </c>
      <c r="H12" s="27" t="s">
        <v>27</v>
      </c>
    </row>
    <row r="13" ht="19.5" customHeight="1" spans="1:8" x14ac:dyDescent="0.25">
      <c r="A13" s="12">
        <v>46184</v>
      </c>
      <c r="B13" s="13" t="s">
        <v>22</v>
      </c>
      <c r="C13" s="15"/>
      <c r="D13" s="14"/>
      <c r="E13" s="15"/>
      <c r="F13" s="14"/>
      <c r="G13" s="10">
        <f t="shared" ref="G13:G14" si="6">IF(OR(C13="",D13="",E13="",F13=""),"",(D13-C13)+(F13-E13))</f>
      </c>
      <c r="H13" s="11">
        <f t="shared" ref="H13:H14" si="7">IF(G13="","",MAX(0,G13-TIME(7,0,0)))</f>
      </c>
    </row>
    <row r="14" ht="19.5" customHeight="1" spans="1:8" x14ac:dyDescent="0.25">
      <c r="A14" s="6">
        <v>46185</v>
      </c>
      <c r="B14" s="7" t="s">
        <v>23</v>
      </c>
      <c r="C14" s="15"/>
      <c r="D14" s="14"/>
      <c r="E14" s="15"/>
      <c r="F14" s="14"/>
      <c r="G14" s="10">
        <f t="shared" si="6"/>
      </c>
      <c r="H14" s="11">
        <f t="shared" si="7"/>
      </c>
    </row>
    <row r="15" ht="21.75" customHeight="1" spans="1:8" x14ac:dyDescent="0.25">
      <c r="A15" s="17" t="s">
        <v>28</v>
      </c>
      <c r="B15" s="18"/>
      <c r="C15" s="19"/>
      <c r="D15" s="19"/>
      <c r="E15" s="19"/>
      <c r="F15" s="19"/>
      <c r="G15" s="20">
        <f>SUM(G10:G14)-TIME(7,0,0)</f>
        <v>-0.2916666666678793</v>
      </c>
      <c r="H15" s="21">
        <f>SUM(H10:H14)</f>
        <v>0</v>
      </c>
    </row>
    <row r="16" ht="19.5" customHeight="1" spans="1:8" x14ac:dyDescent="0.25">
      <c r="A16" s="6">
        <v>46188</v>
      </c>
      <c r="B16" s="7" t="s">
        <v>19</v>
      </c>
      <c r="C16" s="15"/>
      <c r="D16" s="14"/>
      <c r="E16" s="15"/>
      <c r="F16" s="14"/>
      <c r="G16" s="10">
        <f t="shared" ref="G16:G20" si="8">IF(OR(C16="",D16="",E16="",F16=""),"",(D16-C16)+(F16-E16))</f>
      </c>
      <c r="H16" s="11">
        <f t="shared" ref="H16:H20" si="9">IF(G16="","",MAX(0,G16-TIME(7,0,0)))</f>
      </c>
    </row>
    <row r="17" ht="19.5" customHeight="1" spans="1:8" x14ac:dyDescent="0.25">
      <c r="A17" s="12">
        <v>46189</v>
      </c>
      <c r="B17" s="13" t="s">
        <v>20</v>
      </c>
      <c r="C17" s="15"/>
      <c r="D17" s="14"/>
      <c r="E17" s="15"/>
      <c r="F17" s="14"/>
      <c r="G17" s="10">
        <f t="shared" si="8"/>
      </c>
      <c r="H17" s="11">
        <f t="shared" si="9"/>
      </c>
    </row>
    <row r="18" ht="19.5" customHeight="1" spans="1:8" x14ac:dyDescent="0.25">
      <c r="A18" s="6">
        <v>46190</v>
      </c>
      <c r="B18" s="7" t="s">
        <v>21</v>
      </c>
      <c r="C18" s="15"/>
      <c r="D18" s="14"/>
      <c r="E18" s="15"/>
      <c r="F18" s="14"/>
      <c r="G18" s="10">
        <f t="shared" si="8"/>
      </c>
      <c r="H18" s="11">
        <f t="shared" si="9"/>
      </c>
    </row>
    <row r="19" ht="19.5" customHeight="1" spans="1:8" x14ac:dyDescent="0.25">
      <c r="A19" s="12">
        <v>46191</v>
      </c>
      <c r="B19" s="13" t="s">
        <v>22</v>
      </c>
      <c r="C19" s="15"/>
      <c r="D19" s="14"/>
      <c r="E19" s="15"/>
      <c r="F19" s="14"/>
      <c r="G19" s="10">
        <f t="shared" si="8"/>
      </c>
      <c r="H19" s="11">
        <f t="shared" si="9"/>
      </c>
    </row>
    <row r="20" ht="19.5" customHeight="1" spans="1:8" x14ac:dyDescent="0.25">
      <c r="A20" s="6">
        <v>46192</v>
      </c>
      <c r="B20" s="7" t="s">
        <v>23</v>
      </c>
      <c r="C20" s="15"/>
      <c r="D20" s="14"/>
      <c r="E20" s="15"/>
      <c r="F20" s="14"/>
      <c r="G20" s="10">
        <f t="shared" si="8"/>
      </c>
      <c r="H20" s="11">
        <f t="shared" si="9"/>
      </c>
    </row>
    <row r="21" ht="21.75" customHeight="1" spans="1:8" x14ac:dyDescent="0.25">
      <c r="A21" s="17" t="s">
        <v>29</v>
      </c>
      <c r="B21" s="18"/>
      <c r="C21" s="19"/>
      <c r="D21" s="19"/>
      <c r="E21" s="19"/>
      <c r="F21" s="19"/>
      <c r="G21" s="20">
        <f t="shared" ref="G21:H21" si="10">SUM(G16:G20)</f>
        <v>0</v>
      </c>
      <c r="H21" s="21">
        <f t="shared" si="10"/>
        <v>0</v>
      </c>
    </row>
    <row r="22" ht="19.5" customHeight="1" spans="1:8" x14ac:dyDescent="0.25">
      <c r="A22" s="6">
        <v>46195</v>
      </c>
      <c r="B22" s="7" t="s">
        <v>19</v>
      </c>
      <c r="C22" s="15"/>
      <c r="D22" s="14"/>
      <c r="E22" s="15"/>
      <c r="F22" s="14"/>
      <c r="G22" s="10">
        <f t="shared" ref="G22:G23" si="11">IF(OR(C22="",D22="",E22="",F22=""),"",(D22-C22)+(F22-E22))</f>
      </c>
      <c r="H22" s="11">
        <f t="shared" ref="H22:H23" si="12">IF(G22="","",MAX(0,G22-TIME(7,0,0)))</f>
      </c>
    </row>
    <row r="23" ht="19.5" customHeight="1" spans="1:8" x14ac:dyDescent="0.25">
      <c r="A23" s="12">
        <v>46196</v>
      </c>
      <c r="B23" s="13" t="s">
        <v>20</v>
      </c>
      <c r="C23" s="15"/>
      <c r="D23" s="14"/>
      <c r="E23" s="15"/>
      <c r="F23" s="14"/>
      <c r="G23" s="10">
        <f t="shared" si="11"/>
      </c>
      <c r="H23" s="11">
        <f t="shared" si="12"/>
      </c>
    </row>
    <row r="24" ht="19.5" customHeight="1" spans="1:8" x14ac:dyDescent="0.25">
      <c r="A24" s="22">
        <v>46197</v>
      </c>
      <c r="B24" s="23" t="s">
        <v>25</v>
      </c>
      <c r="C24" s="24"/>
      <c r="D24" s="24"/>
      <c r="E24" s="24"/>
      <c r="F24" s="25"/>
      <c r="G24" s="26" t="s">
        <v>26</v>
      </c>
      <c r="H24" s="27" t="s">
        <v>27</v>
      </c>
    </row>
    <row r="25" ht="19.5" customHeight="1" spans="1:8" x14ac:dyDescent="0.25">
      <c r="A25" s="12">
        <v>46198</v>
      </c>
      <c r="B25" s="13" t="s">
        <v>22</v>
      </c>
      <c r="C25" s="15"/>
      <c r="D25" s="14"/>
      <c r="E25" s="15"/>
      <c r="F25" s="14"/>
      <c r="G25" s="10">
        <f t="shared" ref="G25:G26" si="13">IF(OR(C25="",D25="",E25="",F25=""),"",(D25-C25)+(F25-E25))</f>
      </c>
      <c r="H25" s="11">
        <f t="shared" ref="H25:H26" si="14">IF(G25="","",MAX(0,G25-TIME(7,0,0)))</f>
      </c>
    </row>
    <row r="26" ht="19.5" customHeight="1" spans="1:8" x14ac:dyDescent="0.25">
      <c r="A26" s="6">
        <v>46199</v>
      </c>
      <c r="B26" s="7" t="s">
        <v>23</v>
      </c>
      <c r="C26" s="15"/>
      <c r="D26" s="14"/>
      <c r="E26" s="15"/>
      <c r="F26" s="14"/>
      <c r="G26" s="10">
        <f t="shared" si="13"/>
      </c>
      <c r="H26" s="11">
        <f t="shared" si="14"/>
      </c>
    </row>
    <row r="27" ht="21.75" customHeight="1" spans="1:8" x14ac:dyDescent="0.25">
      <c r="A27" s="17" t="s">
        <v>30</v>
      </c>
      <c r="B27" s="18"/>
      <c r="C27" s="19"/>
      <c r="D27" s="19"/>
      <c r="E27" s="19"/>
      <c r="F27" s="19"/>
      <c r="G27" s="20">
        <f>SUM(G22:G26)-TIME(7,0,0)</f>
        <v>-0.2916666666678793</v>
      </c>
      <c r="H27" s="21">
        <f>SUM(H22:H26)</f>
        <v>0</v>
      </c>
    </row>
    <row r="28" ht="19.5" customHeight="1" spans="1:8" x14ac:dyDescent="0.25">
      <c r="A28" s="6">
        <v>46202</v>
      </c>
      <c r="B28" s="7" t="s">
        <v>19</v>
      </c>
      <c r="C28" s="15"/>
      <c r="D28" s="14"/>
      <c r="E28" s="15"/>
      <c r="F28" s="14"/>
      <c r="G28" s="10">
        <f t="shared" ref="G28:G29" si="15">IF(OR(C28="",D28="",E28="",F28=""),"",(D28-C28)+(F28-E28))</f>
      </c>
      <c r="H28" s="11">
        <f t="shared" ref="H28:H29" si="16">IF(G28="","",MAX(0,G28-TIME(7,0,0)))</f>
      </c>
    </row>
    <row r="29" ht="19.5" customHeight="1" spans="1:8" x14ac:dyDescent="0.25">
      <c r="A29" s="12">
        <v>46203</v>
      </c>
      <c r="B29" s="13" t="s">
        <v>20</v>
      </c>
      <c r="C29" s="15"/>
      <c r="D29" s="14"/>
      <c r="E29" s="15"/>
      <c r="F29" s="14"/>
      <c r="G29" s="10">
        <f t="shared" si="15"/>
      </c>
      <c r="H29" s="11">
        <f t="shared" si="16"/>
      </c>
    </row>
    <row r="30" ht="21.75" customHeight="1" spans="1:8" x14ac:dyDescent="0.25">
      <c r="A30" s="17" t="s">
        <v>31</v>
      </c>
      <c r="B30" s="18"/>
      <c r="C30" s="19"/>
      <c r="D30" s="19"/>
      <c r="E30" s="19"/>
      <c r="F30" s="19"/>
      <c r="G30" s="20">
        <f t="shared" ref="G30:H30" si="17">SUM(G28:G29)</f>
        <v>0</v>
      </c>
      <c r="H30" s="21">
        <f t="shared" si="17"/>
        <v>0</v>
      </c>
    </row>
    <row r="31" ht="25.5" customHeight="1" spans="1:8" x14ac:dyDescent="0.25">
      <c r="A31" s="28" t="s">
        <v>32</v>
      </c>
      <c r="B31" s="29"/>
      <c r="C31" s="29"/>
      <c r="D31" s="29"/>
      <c r="E31" s="29"/>
      <c r="F31" s="30"/>
      <c r="G31" s="31">
        <f t="shared" ref="G31:H31" si="18">G9+G15+G21+G27+G30</f>
        <v>-0.34097222222044365</v>
      </c>
      <c r="H31" s="32">
        <f t="shared" si="18"/>
        <v>0.07569444444379769</v>
      </c>
    </row>
    <row r="32" ht="15.75" customHeight="1" spans="1:17" x14ac:dyDescent="0.25">
      <c r="A32" t="s">
        <v>33</v>
      </c>
      <c r="I32" t="s">
        <v>34</v>
      </c>
      <c r="J32" t="s">
        <v>27</v>
      </c>
      <c r="K32" t="s">
        <v>27</v>
      </c>
      <c r="L32" t="s">
        <v>35</v>
      </c>
      <c r="M32" s="33">
        <v>0</v>
      </c>
      <c r="N32" s="33">
        <v>0</v>
      </c>
      <c r="O32" s="34">
        <v>0</v>
      </c>
      <c r="P32">
        <v>7</v>
      </c>
      <c r="Q32">
        <v>0</v>
      </c>
    </row>
    <row r="33" ht="15.75" customHeight="1" spans="1:17" x14ac:dyDescent="0.25">
      <c r="A33" s="35" t="s">
        <v>36</v>
      </c>
      <c r="B33"/>
      <c r="C33"/>
      <c r="D33"/>
      <c r="E33"/>
      <c r="F33"/>
      <c r="G33"/>
      <c r="H33"/>
      <c r="I33" t="s">
        <v>34</v>
      </c>
      <c r="J33" t="s">
        <v>27</v>
      </c>
      <c r="K33" t="s">
        <v>27</v>
      </c>
      <c r="L33" t="s">
        <v>35</v>
      </c>
      <c r="M33" s="33">
        <v>0.20833333333333334</v>
      </c>
      <c r="N33" s="33">
        <v>0.17708333333333334</v>
      </c>
      <c r="O33" s="34">
        <v>0.3854166666666667</v>
      </c>
      <c r="P33">
        <v>7</v>
      </c>
      <c r="Q33">
        <v>2.25</v>
      </c>
    </row>
    <row r="34" ht="15.75" customHeight="1" spans="1:17" x14ac:dyDescent="0.25">
      <c r="A34" t="s">
        <v>37</v>
      </c>
      <c r="I34" t="s">
        <v>34</v>
      </c>
      <c r="J34" t="s">
        <v>27</v>
      </c>
      <c r="K34" t="s">
        <v>27</v>
      </c>
      <c r="L34" t="s">
        <v>35</v>
      </c>
      <c r="M34" s="33">
        <v>0.20833333333333334</v>
      </c>
      <c r="N34" s="33">
        <v>0.17708333333333334</v>
      </c>
      <c r="O34" s="34">
        <v>0.3854166666666667</v>
      </c>
      <c r="P34">
        <v>7</v>
      </c>
      <c r="Q34">
        <v>2.25</v>
      </c>
    </row>
    <row r="35" ht="15.75" customHeight="1" spans="1:17" x14ac:dyDescent="0.25">
      <c r="A35" t="s">
        <v>38</v>
      </c>
      <c r="I35" t="s">
        <v>34</v>
      </c>
      <c r="J35" t="s">
        <v>27</v>
      </c>
      <c r="K35" t="s">
        <v>27</v>
      </c>
      <c r="L35" t="s">
        <v>35</v>
      </c>
      <c r="M35" s="33">
        <v>0.20833333333333334</v>
      </c>
      <c r="N35" s="33">
        <v>0.17708333333333334</v>
      </c>
      <c r="O35" s="34">
        <v>0.3854166666666667</v>
      </c>
      <c r="P35">
        <v>7</v>
      </c>
      <c r="Q35">
        <v>2.25</v>
      </c>
    </row>
    <row r="36" ht="15.75" customHeight="1" spans="1:17" x14ac:dyDescent="0.25">
      <c r="A36" t="s">
        <v>39</v>
      </c>
      <c r="I36" t="s">
        <v>34</v>
      </c>
      <c r="J36" t="s">
        <v>27</v>
      </c>
      <c r="K36" t="s">
        <v>27</v>
      </c>
      <c r="L36" t="s">
        <v>35</v>
      </c>
      <c r="M36" s="33">
        <v>0.20833333333333334</v>
      </c>
      <c r="N36" s="33">
        <v>0.17708333333333334</v>
      </c>
      <c r="O36" s="34">
        <v>0.3854166666666667</v>
      </c>
      <c r="P36">
        <v>7</v>
      </c>
      <c r="Q36">
        <v>2.25</v>
      </c>
    </row>
    <row r="37" ht="15.75" customHeight="1" spans="1:17" x14ac:dyDescent="0.25">
      <c r="A37" t="s">
        <v>40</v>
      </c>
      <c r="I37" t="s">
        <v>34</v>
      </c>
      <c r="J37" t="s">
        <v>27</v>
      </c>
      <c r="K37" t="s">
        <v>27</v>
      </c>
      <c r="L37" t="s">
        <v>35</v>
      </c>
      <c r="M37" s="33">
        <v>0.20833333333333334</v>
      </c>
      <c r="N37" s="33">
        <v>0.17708333333333334</v>
      </c>
      <c r="O37" s="34">
        <v>0.3854166666666667</v>
      </c>
      <c r="P37">
        <v>7</v>
      </c>
      <c r="Q37">
        <v>2.25</v>
      </c>
    </row>
    <row r="38" ht="15.75" customHeight="1" spans="1:17" x14ac:dyDescent="0.25">
      <c r="A38" t="s">
        <v>41</v>
      </c>
      <c r="I38" t="s">
        <v>34</v>
      </c>
      <c r="J38" t="s">
        <v>27</v>
      </c>
      <c r="K38" t="s">
        <v>27</v>
      </c>
      <c r="L38" t="s">
        <v>35</v>
      </c>
      <c r="M38" s="33">
        <v>0.20833333333333334</v>
      </c>
      <c r="N38" s="33">
        <v>0.17708333333333334</v>
      </c>
      <c r="O38" s="34">
        <v>0.3854166666666667</v>
      </c>
      <c r="P38">
        <v>7</v>
      </c>
      <c r="Q38">
        <v>2.25</v>
      </c>
    </row>
    <row r="39" ht="15.75" customHeight="1" spans="1:17" x14ac:dyDescent="0.25">
      <c r="A39" t="s">
        <v>42</v>
      </c>
      <c r="I39" t="s">
        <v>34</v>
      </c>
      <c r="J39" t="s">
        <v>27</v>
      </c>
      <c r="K39" t="s">
        <v>27</v>
      </c>
      <c r="L39" t="s">
        <v>35</v>
      </c>
      <c r="M39" s="33">
        <v>0.20833333333333334</v>
      </c>
      <c r="N39" s="33">
        <v>0.17708333333333334</v>
      </c>
      <c r="O39" s="34">
        <v>0.3854166666666667</v>
      </c>
      <c r="P39">
        <v>-7</v>
      </c>
      <c r="Q39">
        <v>2.25</v>
      </c>
    </row>
    <row r="40" ht="15.75" customHeight="1" spans="1:17" x14ac:dyDescent="0.25">
      <c r="A40" t="s">
        <v>43</v>
      </c>
      <c r="I40" t="s">
        <v>34</v>
      </c>
      <c r="J40" t="s">
        <v>27</v>
      </c>
      <c r="K40" t="s">
        <v>27</v>
      </c>
      <c r="L40" t="s">
        <v>35</v>
      </c>
      <c r="M40" s="33">
        <v>0.20833333333333334</v>
      </c>
      <c r="N40" s="33">
        <v>0.17708333333333334</v>
      </c>
      <c r="O40" s="34">
        <v>0.3854166666666667</v>
      </c>
      <c r="P40">
        <v>7</v>
      </c>
      <c r="Q40">
        <v>2.25</v>
      </c>
    </row>
    <row r="41" ht="15.75" customHeight="1" spans="1:17" x14ac:dyDescent="0.25">
      <c r="A41" t="s">
        <v>44</v>
      </c>
      <c r="I41" t="s">
        <v>34</v>
      </c>
      <c r="J41" t="s">
        <v>27</v>
      </c>
      <c r="K41" t="s">
        <v>27</v>
      </c>
      <c r="L41" t="s">
        <v>35</v>
      </c>
      <c r="M41" s="33">
        <v>0.20833333333333334</v>
      </c>
      <c r="N41" s="33">
        <v>0.17708333333333334</v>
      </c>
      <c r="O41" s="34">
        <v>0.3854166666666667</v>
      </c>
      <c r="P41">
        <v>7</v>
      </c>
      <c r="Q41">
        <v>2.25</v>
      </c>
    </row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A9:B9"/>
    <mergeCell ref="B12:F12"/>
    <mergeCell ref="A15:B15"/>
    <mergeCell ref="A21:B21"/>
    <mergeCell ref="B24:F24"/>
    <mergeCell ref="A27:B27"/>
    <mergeCell ref="A30:B30"/>
    <mergeCell ref="A31:F31"/>
    <mergeCell ref="A33:H33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45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</row>
    <row r="4" ht="19.5" customHeight="1" spans="1:8" x14ac:dyDescent="0.25">
      <c r="A4" s="6">
        <v>46204</v>
      </c>
      <c r="B4" s="7" t="s">
        <v>21</v>
      </c>
      <c r="C4" s="15"/>
      <c r="D4" s="14"/>
      <c r="E4" s="15"/>
      <c r="F4" s="14"/>
      <c r="G4" s="10">
        <f t="shared" ref="G4:G6" si="0">IF(OR(C4="",D4="",E4="",F4=""),"",(D4-C4)+(F4-E4))</f>
      </c>
      <c r="H4" s="11">
        <f t="shared" ref="H4:H6" si="1">IF(G4="","",MAX(0,G4-TIME(7,0,0)))</f>
      </c>
    </row>
    <row r="5" ht="19.5" customHeight="1" spans="1:8" x14ac:dyDescent="0.25">
      <c r="A5" s="12">
        <v>46205</v>
      </c>
      <c r="B5" s="13" t="s">
        <v>22</v>
      </c>
      <c r="C5" s="15"/>
      <c r="D5" s="14"/>
      <c r="E5" s="15"/>
      <c r="F5" s="14"/>
      <c r="G5" s="10">
        <f t="shared" si="0"/>
      </c>
      <c r="H5" s="11">
        <f t="shared" si="1"/>
      </c>
    </row>
    <row r="6" ht="19.5" customHeight="1" spans="1:8" x14ac:dyDescent="0.25">
      <c r="A6" s="6">
        <v>46206</v>
      </c>
      <c r="B6" s="7" t="s">
        <v>23</v>
      </c>
      <c r="C6" s="15"/>
      <c r="D6" s="14"/>
      <c r="E6" s="15"/>
      <c r="F6" s="14"/>
      <c r="G6" s="10">
        <f t="shared" si="0"/>
      </c>
      <c r="H6" s="11">
        <f t="shared" si="1"/>
      </c>
    </row>
    <row r="7" ht="21.75" customHeight="1" spans="1:8" x14ac:dyDescent="0.25">
      <c r="A7" s="17" t="s">
        <v>24</v>
      </c>
      <c r="B7" s="18"/>
      <c r="C7" s="19"/>
      <c r="D7" s="19"/>
      <c r="E7" s="19"/>
      <c r="F7" s="19"/>
      <c r="G7" s="20">
        <f t="shared" ref="G7:H7" si="2">SUM(G4:G6)</f>
        <v>0</v>
      </c>
      <c r="H7" s="21">
        <f t="shared" si="2"/>
        <v>0</v>
      </c>
    </row>
    <row r="8" ht="19.5" customHeight="1" spans="1:8" x14ac:dyDescent="0.25">
      <c r="A8" s="6">
        <v>46209</v>
      </c>
      <c r="B8" s="7" t="s">
        <v>19</v>
      </c>
      <c r="C8" s="15"/>
      <c r="D8" s="14"/>
      <c r="E8" s="15"/>
      <c r="F8" s="14"/>
      <c r="G8" s="10">
        <f t="shared" ref="G8:G9" si="3">IF(OR(C8="",D8="",E8="",F8=""),"",(D8-C8)+(F8-E8))</f>
      </c>
      <c r="H8" s="11">
        <f t="shared" ref="H8:H9" si="4">IF(G8="","",MAX(0,G8-TIME(7,0,0)))</f>
      </c>
    </row>
    <row r="9" ht="19.5" customHeight="1" spans="1:8" x14ac:dyDescent="0.25">
      <c r="A9" s="12">
        <v>46210</v>
      </c>
      <c r="B9" s="13" t="s">
        <v>20</v>
      </c>
      <c r="C9" s="15"/>
      <c r="D9" s="14"/>
      <c r="E9" s="15"/>
      <c r="F9" s="14"/>
      <c r="G9" s="10">
        <f t="shared" si="3"/>
      </c>
      <c r="H9" s="11">
        <f t="shared" si="4"/>
      </c>
    </row>
    <row r="10" ht="19.5" customHeight="1" spans="1:8" x14ac:dyDescent="0.25">
      <c r="A10" s="22">
        <v>46211</v>
      </c>
      <c r="B10" s="23" t="s">
        <v>25</v>
      </c>
      <c r="C10" s="24"/>
      <c r="D10" s="24"/>
      <c r="E10" s="24"/>
      <c r="F10" s="25"/>
      <c r="G10" s="26" t="s">
        <v>26</v>
      </c>
      <c r="H10" s="27" t="s">
        <v>27</v>
      </c>
    </row>
    <row r="11" ht="19.5" customHeight="1" spans="1:8" x14ac:dyDescent="0.25">
      <c r="A11" s="12">
        <v>46212</v>
      </c>
      <c r="B11" s="13" t="s">
        <v>22</v>
      </c>
      <c r="C11" s="15"/>
      <c r="D11" s="14"/>
      <c r="E11" s="15"/>
      <c r="F11" s="14"/>
      <c r="G11" s="10">
        <f t="shared" ref="G11:G12" si="5">IF(OR(C11="",D11="",E11="",F11=""),"",(D11-C11)+(F11-E11))</f>
      </c>
      <c r="H11" s="11">
        <f t="shared" ref="H11:H12" si="6">IF(G11="","",MAX(0,G11-TIME(7,0,0)))</f>
      </c>
    </row>
    <row r="12" ht="19.5" customHeight="1" spans="1:8" x14ac:dyDescent="0.25">
      <c r="A12" s="6">
        <v>46213</v>
      </c>
      <c r="B12" s="7" t="s">
        <v>23</v>
      </c>
      <c r="C12" s="15"/>
      <c r="D12" s="14"/>
      <c r="E12" s="15"/>
      <c r="F12" s="14"/>
      <c r="G12" s="10">
        <f t="shared" si="5"/>
      </c>
      <c r="H12" s="11">
        <f t="shared" si="6"/>
      </c>
    </row>
    <row r="13" ht="21.75" customHeight="1" spans="1:8" x14ac:dyDescent="0.25">
      <c r="A13" s="17" t="s">
        <v>28</v>
      </c>
      <c r="B13" s="18"/>
      <c r="C13" s="19"/>
      <c r="D13" s="19"/>
      <c r="E13" s="19"/>
      <c r="F13" s="19"/>
      <c r="G13" s="20">
        <f>SUM(G8:G12)-TIME(7,0,0)</f>
        <v>-0.2916666666678793</v>
      </c>
      <c r="H13" s="21">
        <f>SUM(H8:H12)</f>
        <v>0</v>
      </c>
    </row>
    <row r="14" ht="19.5" customHeight="1" spans="1:8" x14ac:dyDescent="0.25">
      <c r="A14" s="6">
        <v>46216</v>
      </c>
      <c r="B14" s="7" t="s">
        <v>19</v>
      </c>
      <c r="C14" s="15"/>
      <c r="D14" s="14"/>
      <c r="E14" s="15"/>
      <c r="F14" s="14"/>
      <c r="G14" s="10">
        <f t="shared" ref="G14:G18" si="7">IF(OR(C14="",D14="",E14="",F14=""),"",(D14-C14)+(F14-E14))</f>
      </c>
      <c r="H14" s="11">
        <f t="shared" ref="H14:H18" si="8">IF(G14="","",MAX(0,G14-TIME(7,0,0)))</f>
      </c>
    </row>
    <row r="15" ht="19.5" customHeight="1" spans="1:8" x14ac:dyDescent="0.25">
      <c r="A15" s="12">
        <v>46217</v>
      </c>
      <c r="B15" s="13" t="s">
        <v>20</v>
      </c>
      <c r="C15" s="15"/>
      <c r="D15" s="14"/>
      <c r="E15" s="15"/>
      <c r="F15" s="14"/>
      <c r="G15" s="10">
        <f t="shared" si="7"/>
      </c>
      <c r="H15" s="11">
        <f t="shared" si="8"/>
      </c>
    </row>
    <row r="16" ht="19.5" customHeight="1" spans="1:8" x14ac:dyDescent="0.25">
      <c r="A16" s="6">
        <v>46218</v>
      </c>
      <c r="B16" s="7" t="s">
        <v>21</v>
      </c>
      <c r="C16" s="15"/>
      <c r="D16" s="14"/>
      <c r="E16" s="15"/>
      <c r="F16" s="14"/>
      <c r="G16" s="10">
        <f t="shared" si="7"/>
      </c>
      <c r="H16" s="11">
        <f t="shared" si="8"/>
      </c>
    </row>
    <row r="17" ht="19.5" customHeight="1" spans="1:8" x14ac:dyDescent="0.25">
      <c r="A17" s="12">
        <v>46219</v>
      </c>
      <c r="B17" s="13" t="s">
        <v>22</v>
      </c>
      <c r="C17" s="15"/>
      <c r="D17" s="14"/>
      <c r="E17" s="15"/>
      <c r="F17" s="14"/>
      <c r="G17" s="10">
        <f t="shared" si="7"/>
      </c>
      <c r="H17" s="11">
        <f t="shared" si="8"/>
      </c>
    </row>
    <row r="18" ht="19.5" customHeight="1" spans="1:8" x14ac:dyDescent="0.25">
      <c r="A18" s="6">
        <v>46220</v>
      </c>
      <c r="B18" s="7" t="s">
        <v>23</v>
      </c>
      <c r="C18" s="15"/>
      <c r="D18" s="14"/>
      <c r="E18" s="15"/>
      <c r="F18" s="14"/>
      <c r="G18" s="10">
        <f t="shared" si="7"/>
      </c>
      <c r="H18" s="11">
        <f t="shared" si="8"/>
      </c>
    </row>
    <row r="19" ht="21.75" customHeight="1" spans="1:8" x14ac:dyDescent="0.25">
      <c r="A19" s="17" t="s">
        <v>29</v>
      </c>
      <c r="B19" s="18"/>
      <c r="C19" s="19"/>
      <c r="D19" s="19"/>
      <c r="E19" s="19"/>
      <c r="F19" s="19"/>
      <c r="G19" s="20">
        <f t="shared" ref="G19:H19" si="9">SUM(G14:G18)</f>
        <v>0</v>
      </c>
      <c r="H19" s="21">
        <f t="shared" si="9"/>
        <v>0</v>
      </c>
    </row>
    <row r="20" ht="19.5" customHeight="1" spans="1:8" x14ac:dyDescent="0.25">
      <c r="A20" s="6">
        <v>46223</v>
      </c>
      <c r="B20" s="7" t="s">
        <v>19</v>
      </c>
      <c r="C20" s="15"/>
      <c r="D20" s="14"/>
      <c r="E20" s="15"/>
      <c r="F20" s="14"/>
      <c r="G20" s="10">
        <f t="shared" ref="G20:G21" si="10">IF(OR(C20="",D20="",E20="",F20=""),"",(D20-C20)+(F20-E20))</f>
      </c>
      <c r="H20" s="11">
        <f t="shared" ref="H20:H21" si="11">IF(G20="","",MAX(0,G20-TIME(7,0,0)))</f>
      </c>
    </row>
    <row r="21" ht="19.5" customHeight="1" spans="1:8" x14ac:dyDescent="0.25">
      <c r="A21" s="12">
        <v>46224</v>
      </c>
      <c r="B21" s="13" t="s">
        <v>20</v>
      </c>
      <c r="C21" s="15"/>
      <c r="D21" s="14"/>
      <c r="E21" s="15"/>
      <c r="F21" s="14"/>
      <c r="G21" s="10">
        <f t="shared" si="10"/>
      </c>
      <c r="H21" s="11">
        <f t="shared" si="11"/>
      </c>
    </row>
    <row r="22" ht="19.5" customHeight="1" spans="1:8" x14ac:dyDescent="0.25">
      <c r="A22" s="22">
        <v>46225</v>
      </c>
      <c r="B22" s="23" t="s">
        <v>25</v>
      </c>
      <c r="C22" s="24"/>
      <c r="D22" s="24"/>
      <c r="E22" s="24"/>
      <c r="F22" s="25"/>
      <c r="G22" s="26" t="s">
        <v>26</v>
      </c>
      <c r="H22" s="27" t="s">
        <v>27</v>
      </c>
    </row>
    <row r="23" ht="19.5" customHeight="1" spans="1:8" x14ac:dyDescent="0.25">
      <c r="A23" s="12">
        <v>46226</v>
      </c>
      <c r="B23" s="13" t="s">
        <v>22</v>
      </c>
      <c r="C23" s="15"/>
      <c r="D23" s="14"/>
      <c r="E23" s="15"/>
      <c r="F23" s="14"/>
      <c r="G23" s="10">
        <f t="shared" ref="G23:G24" si="12">IF(OR(C23="",D23="",E23="",F23=""),"",(D23-C23)+(F23-E23))</f>
      </c>
      <c r="H23" s="11">
        <f t="shared" ref="H23:H24" si="13">IF(G23="","",MAX(0,G23-TIME(7,0,0)))</f>
      </c>
    </row>
    <row r="24" ht="19.5" customHeight="1" spans="1:8" x14ac:dyDescent="0.25">
      <c r="A24" s="6">
        <v>46227</v>
      </c>
      <c r="B24" s="7" t="s">
        <v>23</v>
      </c>
      <c r="C24" s="15"/>
      <c r="D24" s="14"/>
      <c r="E24" s="15"/>
      <c r="F24" s="14"/>
      <c r="G24" s="10">
        <f t="shared" si="12"/>
      </c>
      <c r="H24" s="11">
        <f t="shared" si="13"/>
      </c>
    </row>
    <row r="25" ht="21.75" customHeight="1" spans="1:8" x14ac:dyDescent="0.25">
      <c r="A25" s="17" t="s">
        <v>30</v>
      </c>
      <c r="B25" s="18"/>
      <c r="C25" s="19"/>
      <c r="D25" s="19"/>
      <c r="E25" s="19"/>
      <c r="F25" s="19"/>
      <c r="G25" s="20">
        <f>SUM(G20:G24)-TIME(7,0,0)</f>
        <v>-0.2916666666678793</v>
      </c>
      <c r="H25" s="21">
        <f>SUM(H20:H24)</f>
        <v>0</v>
      </c>
    </row>
    <row r="26" ht="19.5" customHeight="1" spans="1:8" x14ac:dyDescent="0.25">
      <c r="A26" s="6">
        <v>46230</v>
      </c>
      <c r="B26" s="7" t="s">
        <v>19</v>
      </c>
      <c r="C26" s="15"/>
      <c r="D26" s="14"/>
      <c r="E26" s="15"/>
      <c r="F26" s="14"/>
      <c r="G26" s="10">
        <f t="shared" ref="G26:G30" si="14">IF(OR(C26="",D26="",E26="",F26=""),"",(D26-C26)+(F26-E26))</f>
      </c>
      <c r="H26" s="11">
        <f t="shared" ref="H26:H30" si="15">IF(G26="","",MAX(0,G26-TIME(7,0,0)))</f>
      </c>
    </row>
    <row r="27" ht="19.5" customHeight="1" spans="1:8" x14ac:dyDescent="0.25">
      <c r="A27" s="12">
        <v>46231</v>
      </c>
      <c r="B27" s="13" t="s">
        <v>20</v>
      </c>
      <c r="C27" s="15"/>
      <c r="D27" s="14"/>
      <c r="E27" s="15"/>
      <c r="F27" s="14"/>
      <c r="G27" s="10">
        <f t="shared" si="14"/>
      </c>
      <c r="H27" s="11">
        <f t="shared" si="15"/>
      </c>
    </row>
    <row r="28" ht="19.5" customHeight="1" spans="1:8" x14ac:dyDescent="0.25">
      <c r="A28" s="6">
        <v>46232</v>
      </c>
      <c r="B28" s="7" t="s">
        <v>21</v>
      </c>
      <c r="C28" s="15"/>
      <c r="D28" s="14"/>
      <c r="E28" s="15"/>
      <c r="F28" s="14"/>
      <c r="G28" s="10">
        <f t="shared" si="14"/>
      </c>
      <c r="H28" s="11">
        <f t="shared" si="15"/>
      </c>
    </row>
    <row r="29" ht="19.5" customHeight="1" spans="1:8" x14ac:dyDescent="0.25">
      <c r="A29" s="12">
        <v>46233</v>
      </c>
      <c r="B29" s="13" t="s">
        <v>22</v>
      </c>
      <c r="C29" s="15"/>
      <c r="D29" s="14"/>
      <c r="E29" s="15"/>
      <c r="F29" s="14"/>
      <c r="G29" s="10">
        <f t="shared" si="14"/>
      </c>
      <c r="H29" s="11">
        <f t="shared" si="15"/>
      </c>
    </row>
    <row r="30" ht="19.5" customHeight="1" spans="1:8" x14ac:dyDescent="0.25">
      <c r="A30" s="6">
        <v>46234</v>
      </c>
      <c r="B30" s="7" t="s">
        <v>23</v>
      </c>
      <c r="C30" s="15"/>
      <c r="D30" s="14"/>
      <c r="E30" s="15"/>
      <c r="F30" s="14"/>
      <c r="G30" s="10">
        <f t="shared" si="14"/>
      </c>
      <c r="H30" s="11">
        <f t="shared" si="15"/>
      </c>
    </row>
    <row r="31" ht="21.75" customHeight="1" spans="1:8" x14ac:dyDescent="0.25">
      <c r="A31" s="17" t="s">
        <v>31</v>
      </c>
      <c r="B31" s="18"/>
      <c r="C31" s="19"/>
      <c r="D31" s="19"/>
      <c r="E31" s="19"/>
      <c r="F31" s="19"/>
      <c r="G31" s="20">
        <f t="shared" ref="G31:H31" si="16">SUM(G26:G30)</f>
        <v>0</v>
      </c>
      <c r="H31" s="21">
        <f t="shared" si="16"/>
        <v>0</v>
      </c>
    </row>
    <row r="32" ht="25.5" customHeight="1" spans="1:8" x14ac:dyDescent="0.25">
      <c r="A32" s="28" t="s">
        <v>46</v>
      </c>
      <c r="B32" s="29"/>
      <c r="C32" s="29"/>
      <c r="D32" s="29"/>
      <c r="E32" s="29"/>
      <c r="F32" s="30"/>
      <c r="G32" s="31">
        <f t="shared" ref="G32:H32" si="17">G7+G13+G19+G25+G31</f>
        <v>-0.5833333333321207</v>
      </c>
      <c r="H32" s="32">
        <f t="shared" si="17"/>
        <v>0</v>
      </c>
    </row>
    <row r="33" ht="15.75" customHeight="1" x14ac:dyDescent="0.25"/>
    <row r="34" ht="15.75" customHeight="1" spans="1:8" x14ac:dyDescent="0.25">
      <c r="A34" s="35" t="s">
        <v>47</v>
      </c>
      <c r="B34"/>
      <c r="C34"/>
      <c r="D34"/>
      <c r="E34"/>
      <c r="F34"/>
      <c r="G34"/>
      <c r="H34"/>
    </row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A7:B7"/>
    <mergeCell ref="B10:F10"/>
    <mergeCell ref="A13:B13"/>
    <mergeCell ref="A19:B19"/>
    <mergeCell ref="B22:F22"/>
    <mergeCell ref="A25:B25"/>
    <mergeCell ref="A31:B31"/>
    <mergeCell ref="A32:F32"/>
    <mergeCell ref="A34:H34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48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</row>
    <row r="4" ht="19.5" customHeight="1" spans="1:8" x14ac:dyDescent="0.25">
      <c r="A4" s="6">
        <v>46237</v>
      </c>
      <c r="B4" s="7" t="s">
        <v>19</v>
      </c>
      <c r="C4" s="15"/>
      <c r="D4" s="14"/>
      <c r="E4" s="15"/>
      <c r="F4" s="14"/>
      <c r="G4" s="10">
        <f t="shared" ref="G4:G5" si="0">IF(OR(C4="",D4="",E4="",F4=""),"",(D4-C4)+(F4-E4))</f>
      </c>
      <c r="H4" s="11">
        <f t="shared" ref="H4:H5" si="1">IF(G4="","",MAX(0,G4-TIME(7,0,0)))</f>
      </c>
    </row>
    <row r="5" ht="19.5" customHeight="1" spans="1:8" x14ac:dyDescent="0.25">
      <c r="A5" s="12">
        <v>46238</v>
      </c>
      <c r="B5" s="13" t="s">
        <v>20</v>
      </c>
      <c r="C5" s="15"/>
      <c r="D5" s="14"/>
      <c r="E5" s="15"/>
      <c r="F5" s="14"/>
      <c r="G5" s="10">
        <f t="shared" si="0"/>
      </c>
      <c r="H5" s="11">
        <f t="shared" si="1"/>
      </c>
    </row>
    <row r="6" ht="19.5" customHeight="1" spans="1:8" x14ac:dyDescent="0.25">
      <c r="A6" s="22">
        <v>46239</v>
      </c>
      <c r="B6" s="23" t="s">
        <v>25</v>
      </c>
      <c r="C6" s="24"/>
      <c r="D6" s="24"/>
      <c r="E6" s="24"/>
      <c r="F6" s="25"/>
      <c r="G6" s="26" t="s">
        <v>26</v>
      </c>
      <c r="H6" s="27" t="s">
        <v>27</v>
      </c>
    </row>
    <row r="7" ht="19.5" customHeight="1" spans="1:8" x14ac:dyDescent="0.25">
      <c r="A7" s="12">
        <v>46240</v>
      </c>
      <c r="B7" s="13" t="s">
        <v>22</v>
      </c>
      <c r="C7" s="15"/>
      <c r="D7" s="14"/>
      <c r="E7" s="15"/>
      <c r="F7" s="14"/>
      <c r="G7" s="10">
        <f t="shared" ref="G7:G8" si="2">IF(OR(C7="",D7="",E7="",F7=""),"",(D7-C7)+(F7-E7))</f>
      </c>
      <c r="H7" s="11">
        <f t="shared" ref="H7:H8" si="3">IF(G7="","",MAX(0,G7-TIME(7,0,0)))</f>
      </c>
    </row>
    <row r="8" ht="19.5" customHeight="1" spans="1:8" x14ac:dyDescent="0.25">
      <c r="A8" s="6">
        <v>46241</v>
      </c>
      <c r="B8" s="7" t="s">
        <v>23</v>
      </c>
      <c r="C8" s="15"/>
      <c r="D8" s="14"/>
      <c r="E8" s="15"/>
      <c r="F8" s="14"/>
      <c r="G8" s="10">
        <f t="shared" si="2"/>
      </c>
      <c r="H8" s="11">
        <f t="shared" si="3"/>
      </c>
    </row>
    <row r="9" ht="21.75" customHeight="1" spans="1:8" x14ac:dyDescent="0.25">
      <c r="A9" s="17" t="s">
        <v>24</v>
      </c>
      <c r="B9" s="18"/>
      <c r="C9" s="19"/>
      <c r="D9" s="19"/>
      <c r="E9" s="19"/>
      <c r="F9" s="19"/>
      <c r="G9" s="20">
        <f>SUM(G4:G8)-TIME(7,0,0)</f>
        <v>-0.2916666666678793</v>
      </c>
      <c r="H9" s="21">
        <f>SUM(H4:H8)</f>
        <v>0</v>
      </c>
    </row>
    <row r="10" ht="19.5" customHeight="1" spans="1:8" x14ac:dyDescent="0.25">
      <c r="A10" s="6">
        <v>46244</v>
      </c>
      <c r="B10" s="7" t="s">
        <v>19</v>
      </c>
      <c r="C10" s="15"/>
      <c r="D10" s="14"/>
      <c r="E10" s="15"/>
      <c r="F10" s="14"/>
      <c r="G10" s="10">
        <f t="shared" ref="G10:G14" si="4">IF(OR(C10="",D10="",E10="",F10=""),"",(D10-C10)+(F10-E10))</f>
      </c>
      <c r="H10" s="11">
        <f t="shared" ref="H10:H14" si="5">IF(G10="","",MAX(0,G10-TIME(7,0,0)))</f>
      </c>
    </row>
    <row r="11" ht="19.5" customHeight="1" spans="1:8" x14ac:dyDescent="0.25">
      <c r="A11" s="12">
        <v>46245</v>
      </c>
      <c r="B11" s="13" t="s">
        <v>20</v>
      </c>
      <c r="C11" s="15"/>
      <c r="D11" s="14"/>
      <c r="E11" s="15"/>
      <c r="F11" s="14"/>
      <c r="G11" s="10">
        <f t="shared" si="4"/>
      </c>
      <c r="H11" s="11">
        <f t="shared" si="5"/>
      </c>
    </row>
    <row r="12" ht="19.5" customHeight="1" spans="1:8" x14ac:dyDescent="0.25">
      <c r="A12" s="6">
        <v>46246</v>
      </c>
      <c r="B12" s="7" t="s">
        <v>21</v>
      </c>
      <c r="C12" s="15"/>
      <c r="D12" s="14"/>
      <c r="E12" s="15"/>
      <c r="F12" s="14"/>
      <c r="G12" s="10">
        <f t="shared" si="4"/>
      </c>
      <c r="H12" s="11">
        <f t="shared" si="5"/>
      </c>
    </row>
    <row r="13" ht="19.5" customHeight="1" spans="1:8" x14ac:dyDescent="0.25">
      <c r="A13" s="12">
        <v>46247</v>
      </c>
      <c r="B13" s="13" t="s">
        <v>22</v>
      </c>
      <c r="C13" s="15"/>
      <c r="D13" s="14"/>
      <c r="E13" s="15"/>
      <c r="F13" s="14"/>
      <c r="G13" s="10">
        <f t="shared" si="4"/>
      </c>
      <c r="H13" s="11">
        <f t="shared" si="5"/>
      </c>
    </row>
    <row r="14" ht="19.5" customHeight="1" spans="1:8" x14ac:dyDescent="0.25">
      <c r="A14" s="6">
        <v>46248</v>
      </c>
      <c r="B14" s="7" t="s">
        <v>23</v>
      </c>
      <c r="C14" s="15"/>
      <c r="D14" s="14"/>
      <c r="E14" s="15"/>
      <c r="F14" s="14"/>
      <c r="G14" s="10">
        <f t="shared" si="4"/>
      </c>
      <c r="H14" s="11">
        <f t="shared" si="5"/>
      </c>
    </row>
    <row r="15" ht="21.75" customHeight="1" spans="1:8" x14ac:dyDescent="0.25">
      <c r="A15" s="17" t="s">
        <v>28</v>
      </c>
      <c r="B15" s="18"/>
      <c r="C15" s="19"/>
      <c r="D15" s="19"/>
      <c r="E15" s="19"/>
      <c r="F15" s="19"/>
      <c r="G15" s="20">
        <f t="shared" ref="G15:H15" si="6">SUM(G10:G14)</f>
        <v>0</v>
      </c>
      <c r="H15" s="21">
        <f t="shared" si="6"/>
        <v>0</v>
      </c>
    </row>
    <row r="16" ht="19.5" customHeight="1" spans="1:8" x14ac:dyDescent="0.25">
      <c r="A16" s="6">
        <v>46251</v>
      </c>
      <c r="B16" s="7" t="s">
        <v>19</v>
      </c>
      <c r="C16" s="15"/>
      <c r="D16" s="14"/>
      <c r="E16" s="15"/>
      <c r="F16" s="14"/>
      <c r="G16" s="10">
        <f t="shared" ref="G16:G17" si="7">IF(OR(C16="",D16="",E16="",F16=""),"",(D16-C16)+(F16-E16))</f>
      </c>
      <c r="H16" s="11">
        <f t="shared" ref="H16:H17" si="8">IF(G16="","",MAX(0,G16-TIME(7,0,0)))</f>
      </c>
    </row>
    <row r="17" ht="19.5" customHeight="1" spans="1:8" x14ac:dyDescent="0.25">
      <c r="A17" s="12">
        <v>46252</v>
      </c>
      <c r="B17" s="13" t="s">
        <v>20</v>
      </c>
      <c r="C17" s="15"/>
      <c r="D17" s="14"/>
      <c r="E17" s="15"/>
      <c r="F17" s="14"/>
      <c r="G17" s="10">
        <f t="shared" si="7"/>
      </c>
      <c r="H17" s="11">
        <f t="shared" si="8"/>
      </c>
    </row>
    <row r="18" ht="19.5" customHeight="1" spans="1:8" x14ac:dyDescent="0.25">
      <c r="A18" s="22">
        <v>46253</v>
      </c>
      <c r="B18" s="23" t="s">
        <v>25</v>
      </c>
      <c r="C18" s="24"/>
      <c r="D18" s="24"/>
      <c r="E18" s="24"/>
      <c r="F18" s="25"/>
      <c r="G18" s="26" t="s">
        <v>26</v>
      </c>
      <c r="H18" s="27" t="s">
        <v>27</v>
      </c>
    </row>
    <row r="19" ht="19.5" customHeight="1" spans="1:8" x14ac:dyDescent="0.25">
      <c r="A19" s="12">
        <v>46254</v>
      </c>
      <c r="B19" s="13" t="s">
        <v>22</v>
      </c>
      <c r="C19" s="15"/>
      <c r="D19" s="14"/>
      <c r="E19" s="15"/>
      <c r="F19" s="14"/>
      <c r="G19" s="10">
        <f t="shared" ref="G19:G20" si="9">IF(OR(C19="",D19="",E19="",F19=""),"",(D19-C19)+(F19-E19))</f>
      </c>
      <c r="H19" s="11">
        <f t="shared" ref="H19:H20" si="10">IF(G19="","",MAX(0,G19-TIME(7,0,0)))</f>
      </c>
    </row>
    <row r="20" ht="19.5" customHeight="1" spans="1:8" x14ac:dyDescent="0.25">
      <c r="A20" s="6">
        <v>46255</v>
      </c>
      <c r="B20" s="7" t="s">
        <v>23</v>
      </c>
      <c r="C20" s="15"/>
      <c r="D20" s="14"/>
      <c r="E20" s="15"/>
      <c r="F20" s="14"/>
      <c r="G20" s="10">
        <f t="shared" si="9"/>
      </c>
      <c r="H20" s="11">
        <f t="shared" si="10"/>
      </c>
    </row>
    <row r="21" ht="21.75" customHeight="1" spans="1:8" x14ac:dyDescent="0.25">
      <c r="A21" s="17" t="s">
        <v>29</v>
      </c>
      <c r="B21" s="18"/>
      <c r="C21" s="19"/>
      <c r="D21" s="19"/>
      <c r="E21" s="19"/>
      <c r="F21" s="19"/>
      <c r="G21" s="20">
        <f>SUM(G16:G20)-TIME(7,0,0)</f>
        <v>-0.2916666666678793</v>
      </c>
      <c r="H21" s="21">
        <f>SUM(H16:H20)</f>
        <v>0</v>
      </c>
    </row>
    <row r="22" ht="19.5" customHeight="1" spans="1:8" x14ac:dyDescent="0.25">
      <c r="A22" s="6">
        <v>46258</v>
      </c>
      <c r="B22" s="7" t="s">
        <v>19</v>
      </c>
      <c r="C22" s="15"/>
      <c r="D22" s="14"/>
      <c r="E22" s="15"/>
      <c r="F22" s="14"/>
      <c r="G22" s="10">
        <f t="shared" ref="G22:G26" si="11">IF(OR(C22="",D22="",E22="",F22=""),"",(D22-C22)+(F22-E22))</f>
      </c>
      <c r="H22" s="11">
        <f t="shared" ref="H22:H26" si="12">IF(G22="","",MAX(0,G22-TIME(7,0,0)))</f>
      </c>
    </row>
    <row r="23" ht="19.5" customHeight="1" spans="1:8" x14ac:dyDescent="0.25">
      <c r="A23" s="12">
        <v>46259</v>
      </c>
      <c r="B23" s="13" t="s">
        <v>20</v>
      </c>
      <c r="C23" s="15"/>
      <c r="D23" s="14"/>
      <c r="E23" s="15"/>
      <c r="F23" s="14"/>
      <c r="G23" s="10">
        <f t="shared" si="11"/>
      </c>
      <c r="H23" s="11">
        <f t="shared" si="12"/>
      </c>
    </row>
    <row r="24" ht="19.5" customHeight="1" spans="1:8" x14ac:dyDescent="0.25">
      <c r="A24" s="6">
        <v>46260</v>
      </c>
      <c r="B24" s="7" t="s">
        <v>21</v>
      </c>
      <c r="C24" s="15"/>
      <c r="D24" s="14"/>
      <c r="E24" s="15"/>
      <c r="F24" s="14"/>
      <c r="G24" s="10">
        <f t="shared" si="11"/>
      </c>
      <c r="H24" s="11">
        <f t="shared" si="12"/>
      </c>
    </row>
    <row r="25" ht="19.5" customHeight="1" spans="1:8" x14ac:dyDescent="0.25">
      <c r="A25" s="12">
        <v>46261</v>
      </c>
      <c r="B25" s="13" t="s">
        <v>22</v>
      </c>
      <c r="C25" s="15"/>
      <c r="D25" s="14"/>
      <c r="E25" s="15"/>
      <c r="F25" s="14"/>
      <c r="G25" s="10">
        <f t="shared" si="11"/>
      </c>
      <c r="H25" s="11">
        <f t="shared" si="12"/>
      </c>
    </row>
    <row r="26" ht="19.5" customHeight="1" spans="1:8" x14ac:dyDescent="0.25">
      <c r="A26" s="6">
        <v>46262</v>
      </c>
      <c r="B26" s="7" t="s">
        <v>23</v>
      </c>
      <c r="C26" s="15"/>
      <c r="D26" s="14"/>
      <c r="E26" s="15"/>
      <c r="F26" s="14"/>
      <c r="G26" s="10">
        <f t="shared" si="11"/>
      </c>
      <c r="H26" s="11">
        <f t="shared" si="12"/>
      </c>
    </row>
    <row r="27" ht="21.75" customHeight="1" spans="1:8" x14ac:dyDescent="0.25">
      <c r="A27" s="17" t="s">
        <v>30</v>
      </c>
      <c r="B27" s="18"/>
      <c r="C27" s="19"/>
      <c r="D27" s="19"/>
      <c r="E27" s="19"/>
      <c r="F27" s="19"/>
      <c r="G27" s="20">
        <f t="shared" ref="G27:H27" si="13">SUM(G22:G26)</f>
        <v>0</v>
      </c>
      <c r="H27" s="21">
        <f t="shared" si="13"/>
        <v>0</v>
      </c>
    </row>
    <row r="28" ht="19.5" customHeight="1" spans="1:8" x14ac:dyDescent="0.25">
      <c r="A28" s="6">
        <v>46265</v>
      </c>
      <c r="B28" s="7" t="s">
        <v>19</v>
      </c>
      <c r="C28" s="15"/>
      <c r="D28" s="14"/>
      <c r="E28" s="15"/>
      <c r="F28" s="14"/>
      <c r="G28" s="10">
        <f>IF(OR(C28="",D28="",E28="",F28=""),"",(D28-C28)+(F28-E28))</f>
      </c>
      <c r="H28" s="11">
        <f>IF(G28="","",MAX(0,G28-TIME(7,0,0)))</f>
      </c>
    </row>
    <row r="29" ht="21.75" customHeight="1" spans="1:8" x14ac:dyDescent="0.25">
      <c r="A29" s="17" t="s">
        <v>31</v>
      </c>
      <c r="B29" s="18"/>
      <c r="C29" s="19"/>
      <c r="D29" s="19"/>
      <c r="E29" s="19"/>
      <c r="F29" s="19"/>
      <c r="G29" s="20">
        <f t="shared" ref="G29:H29" si="14">SUM(G28)</f>
        <v>0</v>
      </c>
      <c r="H29" s="21">
        <f t="shared" si="14"/>
        <v>0</v>
      </c>
    </row>
    <row r="30" ht="25.5" customHeight="1" spans="1:8" x14ac:dyDescent="0.25">
      <c r="A30" s="28" t="s">
        <v>49</v>
      </c>
      <c r="B30" s="29"/>
      <c r="C30" s="29"/>
      <c r="D30" s="29"/>
      <c r="E30" s="29"/>
      <c r="F30" s="30"/>
      <c r="G30" s="31">
        <f t="shared" ref="G30:H30" si="15">G9+G15+G21+G27+G29</f>
        <v>-0.5833333333321207</v>
      </c>
      <c r="H30" s="32">
        <f t="shared" si="15"/>
        <v>0</v>
      </c>
    </row>
    <row r="31" ht="15.75" customHeight="1" x14ac:dyDescent="0.25"/>
    <row r="32" ht="15.75" customHeight="1" spans="1:8" x14ac:dyDescent="0.25">
      <c r="A32" s="35" t="s">
        <v>47</v>
      </c>
      <c r="B32"/>
      <c r="C32"/>
      <c r="D32"/>
      <c r="E32"/>
      <c r="F32"/>
      <c r="G32"/>
      <c r="H32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B6:F6"/>
    <mergeCell ref="A9:B9"/>
    <mergeCell ref="A15:B15"/>
    <mergeCell ref="B18:F18"/>
    <mergeCell ref="A21:B21"/>
    <mergeCell ref="A27:B27"/>
    <mergeCell ref="A29:B29"/>
    <mergeCell ref="A30:F30"/>
    <mergeCell ref="A32:H32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50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</row>
    <row r="4" ht="19.5" customHeight="1" spans="1:8" x14ac:dyDescent="0.25">
      <c r="A4" s="6">
        <v>46266</v>
      </c>
      <c r="B4" s="7" t="s">
        <v>20</v>
      </c>
      <c r="C4" s="15"/>
      <c r="D4" s="14"/>
      <c r="E4" s="15"/>
      <c r="F4" s="14"/>
      <c r="G4" s="10">
        <f>IF(OR(C4="",D4="",E4="",F4=""),"",(D4-C4)+(F4-E4))</f>
      </c>
      <c r="H4" s="11">
        <f>IF(G4="","",MAX(0,G4-TIME(7,0,0)))</f>
      </c>
    </row>
    <row r="5" ht="19.5" customHeight="1" spans="1:8" x14ac:dyDescent="0.25">
      <c r="A5" s="22">
        <v>46267</v>
      </c>
      <c r="B5" s="23" t="s">
        <v>25</v>
      </c>
      <c r="C5" s="24"/>
      <c r="D5" s="24"/>
      <c r="E5" s="24"/>
      <c r="F5" s="25"/>
      <c r="G5" s="26" t="s">
        <v>26</v>
      </c>
      <c r="H5" s="27" t="s">
        <v>27</v>
      </c>
    </row>
    <row r="6" ht="19.5" customHeight="1" spans="1:8" x14ac:dyDescent="0.25">
      <c r="A6" s="6">
        <v>46268</v>
      </c>
      <c r="B6" s="7" t="s">
        <v>22</v>
      </c>
      <c r="C6" s="15"/>
      <c r="D6" s="14"/>
      <c r="E6" s="15"/>
      <c r="F6" s="14"/>
      <c r="G6" s="10">
        <f t="shared" ref="G6:G7" si="0">IF(OR(C6="",D6="",E6="",F6=""),"",(D6-C6)+(F6-E6))</f>
      </c>
      <c r="H6" s="11">
        <f t="shared" ref="H6:H7" si="1">IF(G6="","",MAX(0,G6-TIME(7,0,0)))</f>
      </c>
    </row>
    <row r="7" ht="19.5" customHeight="1" spans="1:8" x14ac:dyDescent="0.25">
      <c r="A7" s="12">
        <v>46269</v>
      </c>
      <c r="B7" s="13" t="s">
        <v>23</v>
      </c>
      <c r="C7" s="15"/>
      <c r="D7" s="14"/>
      <c r="E7" s="15"/>
      <c r="F7" s="14"/>
      <c r="G7" s="10">
        <f t="shared" si="0"/>
      </c>
      <c r="H7" s="11">
        <f t="shared" si="1"/>
      </c>
    </row>
    <row r="8" ht="21.75" customHeight="1" spans="1:8" x14ac:dyDescent="0.25">
      <c r="A8" s="17" t="s">
        <v>24</v>
      </c>
      <c r="B8" s="18"/>
      <c r="C8" s="19"/>
      <c r="D8" s="19"/>
      <c r="E8" s="19"/>
      <c r="F8" s="19"/>
      <c r="G8" s="20">
        <f>SUM(G4:G7)-TIME(7,0,0)</f>
        <v>-0.2916666666678793</v>
      </c>
      <c r="H8" s="21">
        <f>SUM(H4:H7)</f>
        <v>0</v>
      </c>
    </row>
    <row r="9" ht="19.5" customHeight="1" spans="1:8" x14ac:dyDescent="0.25">
      <c r="A9" s="6">
        <v>46272</v>
      </c>
      <c r="B9" s="7" t="s">
        <v>19</v>
      </c>
      <c r="C9" s="15"/>
      <c r="D9" s="14"/>
      <c r="E9" s="15"/>
      <c r="F9" s="14"/>
      <c r="G9" s="10">
        <f t="shared" ref="G9:G13" si="2">IF(OR(C9="",D9="",E9="",F9=""),"",(D9-C9)+(F9-E9))</f>
      </c>
      <c r="H9" s="11">
        <f t="shared" ref="H9:H13" si="3">IF(G9="","",MAX(0,G9-TIME(7,0,0)))</f>
      </c>
    </row>
    <row r="10" ht="19.5" customHeight="1" spans="1:8" x14ac:dyDescent="0.25">
      <c r="A10" s="12">
        <v>46273</v>
      </c>
      <c r="B10" s="13" t="s">
        <v>20</v>
      </c>
      <c r="C10" s="15"/>
      <c r="D10" s="14"/>
      <c r="E10" s="15"/>
      <c r="F10" s="14"/>
      <c r="G10" s="10">
        <f t="shared" si="2"/>
      </c>
      <c r="H10" s="11">
        <f t="shared" si="3"/>
      </c>
    </row>
    <row r="11" ht="19.5" customHeight="1" spans="1:8" x14ac:dyDescent="0.25">
      <c r="A11" s="6">
        <v>46274</v>
      </c>
      <c r="B11" s="7" t="s">
        <v>21</v>
      </c>
      <c r="C11" s="15"/>
      <c r="D11" s="14"/>
      <c r="E11" s="15"/>
      <c r="F11" s="14"/>
      <c r="G11" s="10">
        <f t="shared" si="2"/>
      </c>
      <c r="H11" s="11">
        <f t="shared" si="3"/>
      </c>
    </row>
    <row r="12" ht="19.5" customHeight="1" spans="1:8" x14ac:dyDescent="0.25">
      <c r="A12" s="12">
        <v>46275</v>
      </c>
      <c r="B12" s="13" t="s">
        <v>22</v>
      </c>
      <c r="C12" s="15"/>
      <c r="D12" s="14"/>
      <c r="E12" s="15"/>
      <c r="F12" s="14"/>
      <c r="G12" s="10">
        <f t="shared" si="2"/>
      </c>
      <c r="H12" s="11">
        <f t="shared" si="3"/>
      </c>
    </row>
    <row r="13" ht="19.5" customHeight="1" spans="1:8" x14ac:dyDescent="0.25">
      <c r="A13" s="6">
        <v>46276</v>
      </c>
      <c r="B13" s="7" t="s">
        <v>23</v>
      </c>
      <c r="C13" s="15"/>
      <c r="D13" s="14"/>
      <c r="E13" s="15"/>
      <c r="F13" s="14"/>
      <c r="G13" s="10">
        <f t="shared" si="2"/>
      </c>
      <c r="H13" s="11">
        <f t="shared" si="3"/>
      </c>
    </row>
    <row r="14" ht="21.75" customHeight="1" spans="1:8" x14ac:dyDescent="0.25">
      <c r="A14" s="17" t="s">
        <v>28</v>
      </c>
      <c r="B14" s="18"/>
      <c r="C14" s="19"/>
      <c r="D14" s="19"/>
      <c r="E14" s="19"/>
      <c r="F14" s="19"/>
      <c r="G14" s="20">
        <f t="shared" ref="G14:H14" si="4">SUM(G9:G13)</f>
        <v>0</v>
      </c>
      <c r="H14" s="21">
        <f t="shared" si="4"/>
        <v>0</v>
      </c>
    </row>
    <row r="15" ht="19.5" customHeight="1" spans="1:8" x14ac:dyDescent="0.25">
      <c r="A15" s="6">
        <v>46279</v>
      </c>
      <c r="B15" s="7" t="s">
        <v>19</v>
      </c>
      <c r="C15" s="15"/>
      <c r="D15" s="14"/>
      <c r="E15" s="15"/>
      <c r="F15" s="14"/>
      <c r="G15" s="10">
        <f t="shared" ref="G15:G16" si="5">IF(OR(C15="",D15="",E15="",F15=""),"",(D15-C15)+(F15-E15))</f>
      </c>
      <c r="H15" s="11">
        <f t="shared" ref="H15:H16" si="6">IF(G15="","",MAX(0,G15-TIME(7,0,0)))</f>
      </c>
    </row>
    <row r="16" ht="19.5" customHeight="1" spans="1:8" x14ac:dyDescent="0.25">
      <c r="A16" s="12">
        <v>46280</v>
      </c>
      <c r="B16" s="13" t="s">
        <v>20</v>
      </c>
      <c r="C16" s="15"/>
      <c r="D16" s="14"/>
      <c r="E16" s="15"/>
      <c r="F16" s="14"/>
      <c r="G16" s="10">
        <f t="shared" si="5"/>
      </c>
      <c r="H16" s="11">
        <f t="shared" si="6"/>
      </c>
    </row>
    <row r="17" ht="19.5" customHeight="1" spans="1:8" x14ac:dyDescent="0.25">
      <c r="A17" s="22">
        <v>46281</v>
      </c>
      <c r="B17" s="23" t="s">
        <v>25</v>
      </c>
      <c r="C17" s="24"/>
      <c r="D17" s="24"/>
      <c r="E17" s="24"/>
      <c r="F17" s="25"/>
      <c r="G17" s="26" t="s">
        <v>26</v>
      </c>
      <c r="H17" s="27" t="s">
        <v>27</v>
      </c>
    </row>
    <row r="18" ht="19.5" customHeight="1" spans="1:8" x14ac:dyDescent="0.25">
      <c r="A18" s="12">
        <v>46282</v>
      </c>
      <c r="B18" s="13" t="s">
        <v>22</v>
      </c>
      <c r="C18" s="15"/>
      <c r="D18" s="14"/>
      <c r="E18" s="15"/>
      <c r="F18" s="14"/>
      <c r="G18" s="10">
        <f t="shared" ref="G18:G19" si="7">IF(OR(C18="",D18="",E18="",F18=""),"",(D18-C18)+(F18-E18))</f>
      </c>
      <c r="H18" s="11">
        <f t="shared" ref="H18:H19" si="8">IF(G18="","",MAX(0,G18-TIME(7,0,0)))</f>
      </c>
    </row>
    <row r="19" ht="19.5" customHeight="1" spans="1:8" x14ac:dyDescent="0.25">
      <c r="A19" s="6">
        <v>46283</v>
      </c>
      <c r="B19" s="7" t="s">
        <v>23</v>
      </c>
      <c r="C19" s="15"/>
      <c r="D19" s="14"/>
      <c r="E19" s="15"/>
      <c r="F19" s="14"/>
      <c r="G19" s="10">
        <f t="shared" si="7"/>
      </c>
      <c r="H19" s="11">
        <f t="shared" si="8"/>
      </c>
    </row>
    <row r="20" ht="21.75" customHeight="1" spans="1:8" x14ac:dyDescent="0.25">
      <c r="A20" s="17" t="s">
        <v>29</v>
      </c>
      <c r="B20" s="18"/>
      <c r="C20" s="19"/>
      <c r="D20" s="19"/>
      <c r="E20" s="19"/>
      <c r="F20" s="19"/>
      <c r="G20" s="20">
        <f>SUM(G15:G19)-TIME(7,0,0)</f>
        <v>-0.2916666666678793</v>
      </c>
      <c r="H20" s="21">
        <f>SUM(H15:H19)</f>
        <v>0</v>
      </c>
    </row>
    <row r="21" ht="19.5" customHeight="1" spans="1:8" x14ac:dyDescent="0.25">
      <c r="A21" s="6">
        <v>46286</v>
      </c>
      <c r="B21" s="7" t="s">
        <v>19</v>
      </c>
      <c r="C21" s="15"/>
      <c r="D21" s="14"/>
      <c r="E21" s="15"/>
      <c r="F21" s="14"/>
      <c r="G21" s="10">
        <f t="shared" ref="G21:G25" si="9">IF(OR(C21="",D21="",E21="",F21=""),"",(D21-C21)+(F21-E21))</f>
      </c>
      <c r="H21" s="11">
        <f t="shared" ref="H21:H25" si="10">IF(G21="","",MAX(0,G21-TIME(7,0,0)))</f>
      </c>
    </row>
    <row r="22" ht="19.5" customHeight="1" spans="1:8" x14ac:dyDescent="0.25">
      <c r="A22" s="12">
        <v>46287</v>
      </c>
      <c r="B22" s="13" t="s">
        <v>20</v>
      </c>
      <c r="C22" s="15"/>
      <c r="D22" s="14"/>
      <c r="E22" s="15"/>
      <c r="F22" s="14"/>
      <c r="G22" s="10">
        <f t="shared" si="9"/>
      </c>
      <c r="H22" s="11">
        <f t="shared" si="10"/>
      </c>
    </row>
    <row r="23" ht="19.5" customHeight="1" spans="1:8" x14ac:dyDescent="0.25">
      <c r="A23" s="6">
        <v>46288</v>
      </c>
      <c r="B23" s="7" t="s">
        <v>21</v>
      </c>
      <c r="C23" s="15"/>
      <c r="D23" s="14"/>
      <c r="E23" s="15"/>
      <c r="F23" s="14"/>
      <c r="G23" s="10">
        <f t="shared" si="9"/>
      </c>
      <c r="H23" s="11">
        <f t="shared" si="10"/>
      </c>
    </row>
    <row r="24" ht="19.5" customHeight="1" spans="1:8" x14ac:dyDescent="0.25">
      <c r="A24" s="12">
        <v>46289</v>
      </c>
      <c r="B24" s="13" t="s">
        <v>22</v>
      </c>
      <c r="C24" s="15"/>
      <c r="D24" s="14"/>
      <c r="E24" s="15"/>
      <c r="F24" s="14"/>
      <c r="G24" s="10">
        <f t="shared" si="9"/>
      </c>
      <c r="H24" s="11">
        <f t="shared" si="10"/>
      </c>
    </row>
    <row r="25" ht="19.5" customHeight="1" spans="1:8" x14ac:dyDescent="0.25">
      <c r="A25" s="6">
        <v>46290</v>
      </c>
      <c r="B25" s="7" t="s">
        <v>23</v>
      </c>
      <c r="C25" s="15"/>
      <c r="D25" s="14"/>
      <c r="E25" s="15"/>
      <c r="F25" s="14"/>
      <c r="G25" s="10">
        <f t="shared" si="9"/>
      </c>
      <c r="H25" s="11">
        <f t="shared" si="10"/>
      </c>
    </row>
    <row r="26" ht="21.75" customHeight="1" spans="1:8" x14ac:dyDescent="0.25">
      <c r="A26" s="17" t="s">
        <v>30</v>
      </c>
      <c r="B26" s="18"/>
      <c r="C26" s="19"/>
      <c r="D26" s="19"/>
      <c r="E26" s="19"/>
      <c r="F26" s="19"/>
      <c r="G26" s="20">
        <f t="shared" ref="G26:H26" si="11">SUM(G21:G25)</f>
        <v>0</v>
      </c>
      <c r="H26" s="21">
        <f t="shared" si="11"/>
        <v>0</v>
      </c>
    </row>
    <row r="27" ht="19.5" customHeight="1" spans="1:8" x14ac:dyDescent="0.25">
      <c r="A27" s="6">
        <v>46293</v>
      </c>
      <c r="B27" s="7" t="s">
        <v>19</v>
      </c>
      <c r="C27" s="15"/>
      <c r="D27" s="14"/>
      <c r="E27" s="15"/>
      <c r="F27" s="14"/>
      <c r="G27" s="10">
        <f t="shared" ref="G27:G28" si="12">IF(OR(C27="",D27="",E27="",F27=""),"",(D27-C27)+(F27-E27))</f>
      </c>
      <c r="H27" s="11">
        <f t="shared" ref="H27:H28" si="13">IF(G27="","",MAX(0,G27-TIME(7,0,0)))</f>
      </c>
    </row>
    <row r="28" ht="19.5" customHeight="1" spans="1:8" x14ac:dyDescent="0.25">
      <c r="A28" s="12">
        <v>46294</v>
      </c>
      <c r="B28" s="13" t="s">
        <v>20</v>
      </c>
      <c r="C28" s="15"/>
      <c r="D28" s="14"/>
      <c r="E28" s="15"/>
      <c r="F28" s="14"/>
      <c r="G28" s="10">
        <f t="shared" si="12"/>
      </c>
      <c r="H28" s="11">
        <f t="shared" si="13"/>
      </c>
    </row>
    <row r="29" ht="19.5" customHeight="1" spans="1:8" x14ac:dyDescent="0.25">
      <c r="A29" s="22">
        <v>46295</v>
      </c>
      <c r="B29" s="23" t="s">
        <v>25</v>
      </c>
      <c r="C29" s="24"/>
      <c r="D29" s="24"/>
      <c r="E29" s="24"/>
      <c r="F29" s="25"/>
      <c r="G29" s="26" t="s">
        <v>26</v>
      </c>
      <c r="H29" s="27" t="s">
        <v>27</v>
      </c>
    </row>
    <row r="30" ht="21.75" customHeight="1" spans="1:8" x14ac:dyDescent="0.25">
      <c r="A30" s="17" t="s">
        <v>31</v>
      </c>
      <c r="B30" s="18"/>
      <c r="C30" s="19"/>
      <c r="D30" s="19"/>
      <c r="E30" s="19"/>
      <c r="F30" s="19"/>
      <c r="G30" s="20">
        <f>SUM(G27:G29)-TIME(7,0,0)</f>
        <v>-0.2916666666678793</v>
      </c>
      <c r="H30" s="21">
        <f>SUM(H27:H29)</f>
        <v>0</v>
      </c>
    </row>
    <row r="31" ht="25.5" customHeight="1" spans="1:8" x14ac:dyDescent="0.25">
      <c r="A31" s="28" t="s">
        <v>51</v>
      </c>
      <c r="B31" s="29"/>
      <c r="C31" s="29"/>
      <c r="D31" s="29"/>
      <c r="E31" s="29"/>
      <c r="F31" s="30"/>
      <c r="G31" s="31">
        <f t="shared" ref="G31:H31" si="14">G8+G14+G20+G26+G30</f>
        <v>-0.875</v>
      </c>
      <c r="H31" s="32">
        <f t="shared" si="14"/>
        <v>0</v>
      </c>
    </row>
    <row r="32" ht="15.75" customHeight="1" x14ac:dyDescent="0.25"/>
    <row r="33" ht="15.75" customHeight="1" spans="1:8" x14ac:dyDescent="0.25">
      <c r="A33" s="35" t="s">
        <v>47</v>
      </c>
      <c r="B33"/>
      <c r="C33"/>
      <c r="D33"/>
      <c r="E33"/>
      <c r="F33"/>
      <c r="G33"/>
      <c r="H33"/>
    </row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A1:H1"/>
    <mergeCell ref="A2:H2"/>
    <mergeCell ref="B5:F5"/>
    <mergeCell ref="A8:B8"/>
    <mergeCell ref="A14:B14"/>
    <mergeCell ref="B17:F17"/>
    <mergeCell ref="A20:B20"/>
    <mergeCell ref="A26:B26"/>
    <mergeCell ref="B29:F29"/>
    <mergeCell ref="A30:B30"/>
    <mergeCell ref="A31:F31"/>
    <mergeCell ref="A33:H33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52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</row>
    <row r="4" ht="19.5" customHeight="1" spans="1:8" x14ac:dyDescent="0.25">
      <c r="A4" s="6">
        <v>46296</v>
      </c>
      <c r="B4" s="7" t="s">
        <v>22</v>
      </c>
      <c r="C4" s="15"/>
      <c r="D4" s="14"/>
      <c r="E4" s="15"/>
      <c r="F4" s="14"/>
      <c r="G4" s="10">
        <f t="shared" ref="G4:G5" si="0">IF(OR(C4="",D4="",E4="",F4=""),"",(D4-C4)+(F4-E4))</f>
      </c>
      <c r="H4" s="11">
        <f t="shared" ref="H4:H5" si="1">IF(G4="","",MAX(0,G4-TIME(7,0,0)))</f>
      </c>
    </row>
    <row r="5" ht="19.5" customHeight="1" spans="1:8" x14ac:dyDescent="0.25">
      <c r="A5" s="12">
        <v>46297</v>
      </c>
      <c r="B5" s="13" t="s">
        <v>23</v>
      </c>
      <c r="C5" s="15"/>
      <c r="D5" s="14"/>
      <c r="E5" s="15"/>
      <c r="F5" s="14"/>
      <c r="G5" s="10">
        <f t="shared" si="0"/>
      </c>
      <c r="H5" s="11">
        <f t="shared" si="1"/>
      </c>
    </row>
    <row r="6" ht="21.75" customHeight="1" spans="1:8" x14ac:dyDescent="0.25">
      <c r="A6" s="17" t="s">
        <v>24</v>
      </c>
      <c r="B6" s="18"/>
      <c r="C6" s="19"/>
      <c r="D6" s="19"/>
      <c r="E6" s="19"/>
      <c r="F6" s="19"/>
      <c r="G6" s="20">
        <f t="shared" ref="G6:H6" si="2">SUM(G4:G5)</f>
        <v>0</v>
      </c>
      <c r="H6" s="21">
        <f t="shared" si="2"/>
        <v>0</v>
      </c>
    </row>
    <row r="7" ht="19.5" customHeight="1" spans="1:8" x14ac:dyDescent="0.25">
      <c r="A7" s="6">
        <v>46300</v>
      </c>
      <c r="B7" s="7" t="s">
        <v>19</v>
      </c>
      <c r="C7" s="15"/>
      <c r="D7" s="14"/>
      <c r="E7" s="15"/>
      <c r="F7" s="14"/>
      <c r="G7" s="10">
        <f t="shared" ref="G7:G11" si="3">IF(OR(C7="",D7="",E7="",F7=""),"",(D7-C7)+(F7-E7))</f>
      </c>
      <c r="H7" s="11">
        <f t="shared" ref="H7:H11" si="4">IF(G7="","",MAX(0,G7-TIME(7,0,0)))</f>
      </c>
    </row>
    <row r="8" ht="19.5" customHeight="1" spans="1:8" x14ac:dyDescent="0.25">
      <c r="A8" s="12">
        <v>46301</v>
      </c>
      <c r="B8" s="13" t="s">
        <v>20</v>
      </c>
      <c r="C8" s="15"/>
      <c r="D8" s="14"/>
      <c r="E8" s="15"/>
      <c r="F8" s="14"/>
      <c r="G8" s="10">
        <f t="shared" si="3"/>
      </c>
      <c r="H8" s="11">
        <f t="shared" si="4"/>
      </c>
    </row>
    <row r="9" ht="19.5" customHeight="1" spans="1:8" x14ac:dyDescent="0.25">
      <c r="A9" s="6">
        <v>46302</v>
      </c>
      <c r="B9" s="7" t="s">
        <v>21</v>
      </c>
      <c r="C9" s="15"/>
      <c r="D9" s="14"/>
      <c r="E9" s="15"/>
      <c r="F9" s="14"/>
      <c r="G9" s="10">
        <f t="shared" si="3"/>
      </c>
      <c r="H9" s="11">
        <f t="shared" si="4"/>
      </c>
    </row>
    <row r="10" ht="19.5" customHeight="1" spans="1:8" x14ac:dyDescent="0.25">
      <c r="A10" s="12">
        <v>46303</v>
      </c>
      <c r="B10" s="13" t="s">
        <v>22</v>
      </c>
      <c r="C10" s="15"/>
      <c r="D10" s="14"/>
      <c r="E10" s="15"/>
      <c r="F10" s="14"/>
      <c r="G10" s="10">
        <f t="shared" si="3"/>
      </c>
      <c r="H10" s="11">
        <f t="shared" si="4"/>
      </c>
    </row>
    <row r="11" ht="19.5" customHeight="1" spans="1:8" x14ac:dyDescent="0.25">
      <c r="A11" s="6">
        <v>46304</v>
      </c>
      <c r="B11" s="7" t="s">
        <v>23</v>
      </c>
      <c r="C11" s="15"/>
      <c r="D11" s="14"/>
      <c r="E11" s="15"/>
      <c r="F11" s="14"/>
      <c r="G11" s="10">
        <f t="shared" si="3"/>
      </c>
      <c r="H11" s="11">
        <f t="shared" si="4"/>
      </c>
    </row>
    <row r="12" ht="21.75" customHeight="1" spans="1:8" x14ac:dyDescent="0.25">
      <c r="A12" s="17" t="s">
        <v>28</v>
      </c>
      <c r="B12" s="18"/>
      <c r="C12" s="19"/>
      <c r="D12" s="19"/>
      <c r="E12" s="19"/>
      <c r="F12" s="19"/>
      <c r="G12" s="20">
        <f t="shared" ref="G12:H12" si="5">SUM(G7:G11)</f>
        <v>0</v>
      </c>
      <c r="H12" s="21">
        <f t="shared" si="5"/>
        <v>0</v>
      </c>
    </row>
    <row r="13" ht="19.5" customHeight="1" spans="1:8" x14ac:dyDescent="0.25">
      <c r="A13" s="6">
        <v>46307</v>
      </c>
      <c r="B13" s="7" t="s">
        <v>19</v>
      </c>
      <c r="C13" s="15"/>
      <c r="D13" s="14"/>
      <c r="E13" s="15"/>
      <c r="F13" s="14"/>
      <c r="G13" s="10">
        <f t="shared" ref="G13:G14" si="6">IF(OR(C13="",D13="",E13="",F13=""),"",(D13-C13)+(F13-E13))</f>
      </c>
      <c r="H13" s="11">
        <f t="shared" ref="H13:H14" si="7">IF(G13="","",MAX(0,G13-TIME(7,0,0)))</f>
      </c>
    </row>
    <row r="14" ht="19.5" customHeight="1" spans="1:8" x14ac:dyDescent="0.25">
      <c r="A14" s="12">
        <v>46308</v>
      </c>
      <c r="B14" s="13" t="s">
        <v>20</v>
      </c>
      <c r="C14" s="15"/>
      <c r="D14" s="14"/>
      <c r="E14" s="15"/>
      <c r="F14" s="14"/>
      <c r="G14" s="10">
        <f t="shared" si="6"/>
      </c>
      <c r="H14" s="11">
        <f t="shared" si="7"/>
      </c>
    </row>
    <row r="15" ht="19.5" customHeight="1" spans="1:8" x14ac:dyDescent="0.25">
      <c r="A15" s="22">
        <v>46309</v>
      </c>
      <c r="B15" s="23" t="s">
        <v>25</v>
      </c>
      <c r="C15" s="24"/>
      <c r="D15" s="24"/>
      <c r="E15" s="24"/>
      <c r="F15" s="25"/>
      <c r="G15" s="26" t="s">
        <v>26</v>
      </c>
      <c r="H15" s="27" t="s">
        <v>27</v>
      </c>
    </row>
    <row r="16" ht="19.5" customHeight="1" spans="1:8" x14ac:dyDescent="0.25">
      <c r="A16" s="12">
        <v>46310</v>
      </c>
      <c r="B16" s="13" t="s">
        <v>22</v>
      </c>
      <c r="C16" s="15"/>
      <c r="D16" s="14"/>
      <c r="E16" s="15"/>
      <c r="F16" s="14"/>
      <c r="G16" s="10">
        <f t="shared" ref="G16:G17" si="8">IF(OR(C16="",D16="",E16="",F16=""),"",(D16-C16)+(F16-E16))</f>
      </c>
      <c r="H16" s="11">
        <f t="shared" ref="H16:H17" si="9">IF(G16="","",MAX(0,G16-TIME(7,0,0)))</f>
      </c>
    </row>
    <row r="17" ht="19.5" customHeight="1" spans="1:8" x14ac:dyDescent="0.25">
      <c r="A17" s="6">
        <v>46311</v>
      </c>
      <c r="B17" s="7" t="s">
        <v>23</v>
      </c>
      <c r="C17" s="15"/>
      <c r="D17" s="14"/>
      <c r="E17" s="15"/>
      <c r="F17" s="14"/>
      <c r="G17" s="10">
        <f t="shared" si="8"/>
      </c>
      <c r="H17" s="11">
        <f t="shared" si="9"/>
      </c>
    </row>
    <row r="18" ht="21.75" customHeight="1" spans="1:8" x14ac:dyDescent="0.25">
      <c r="A18" s="17" t="s">
        <v>29</v>
      </c>
      <c r="B18" s="18"/>
      <c r="C18" s="19"/>
      <c r="D18" s="19"/>
      <c r="E18" s="19"/>
      <c r="F18" s="19"/>
      <c r="G18" s="20">
        <f>SUM(G13:G17)-TIME(7,0,0)</f>
        <v>-0.2916666666678793</v>
      </c>
      <c r="H18" s="21">
        <f>SUM(H13:H17)</f>
        <v>0</v>
      </c>
    </row>
    <row r="19" ht="19.5" customHeight="1" spans="1:8" x14ac:dyDescent="0.25">
      <c r="A19" s="6">
        <v>46314</v>
      </c>
      <c r="B19" s="7" t="s">
        <v>19</v>
      </c>
      <c r="C19" s="15"/>
      <c r="D19" s="14"/>
      <c r="E19" s="15"/>
      <c r="F19" s="14"/>
      <c r="G19" s="10">
        <f t="shared" ref="G19:G23" si="10">IF(OR(C19="",D19="",E19="",F19=""),"",(D19-C19)+(F19-E19))</f>
      </c>
      <c r="H19" s="11">
        <f t="shared" ref="H19:H23" si="11">IF(G19="","",MAX(0,G19-TIME(7,0,0)))</f>
      </c>
    </row>
    <row r="20" ht="19.5" customHeight="1" spans="1:8" x14ac:dyDescent="0.25">
      <c r="A20" s="12">
        <v>46315</v>
      </c>
      <c r="B20" s="13" t="s">
        <v>20</v>
      </c>
      <c r="C20" s="15"/>
      <c r="D20" s="14"/>
      <c r="E20" s="15"/>
      <c r="F20" s="14"/>
      <c r="G20" s="10">
        <f t="shared" si="10"/>
      </c>
      <c r="H20" s="11">
        <f t="shared" si="11"/>
      </c>
    </row>
    <row r="21" ht="19.5" customHeight="1" spans="1:8" x14ac:dyDescent="0.25">
      <c r="A21" s="6">
        <v>46316</v>
      </c>
      <c r="B21" s="7" t="s">
        <v>21</v>
      </c>
      <c r="C21" s="15"/>
      <c r="D21" s="14"/>
      <c r="E21" s="15"/>
      <c r="F21" s="14"/>
      <c r="G21" s="10">
        <f t="shared" si="10"/>
      </c>
      <c r="H21" s="11">
        <f t="shared" si="11"/>
      </c>
    </row>
    <row r="22" ht="19.5" customHeight="1" spans="1:8" x14ac:dyDescent="0.25">
      <c r="A22" s="12">
        <v>46317</v>
      </c>
      <c r="B22" s="13" t="s">
        <v>22</v>
      </c>
      <c r="C22" s="15"/>
      <c r="D22" s="14"/>
      <c r="E22" s="15"/>
      <c r="F22" s="14"/>
      <c r="G22" s="10">
        <f t="shared" si="10"/>
      </c>
      <c r="H22" s="11">
        <f t="shared" si="11"/>
      </c>
    </row>
    <row r="23" ht="19.5" customHeight="1" spans="1:8" x14ac:dyDescent="0.25">
      <c r="A23" s="6">
        <v>46318</v>
      </c>
      <c r="B23" s="7" t="s">
        <v>23</v>
      </c>
      <c r="C23" s="15"/>
      <c r="D23" s="14"/>
      <c r="E23" s="15"/>
      <c r="F23" s="14"/>
      <c r="G23" s="10">
        <f t="shared" si="10"/>
      </c>
      <c r="H23" s="11">
        <f t="shared" si="11"/>
      </c>
    </row>
    <row r="24" ht="21.75" customHeight="1" spans="1:8" x14ac:dyDescent="0.25">
      <c r="A24" s="17" t="s">
        <v>30</v>
      </c>
      <c r="B24" s="18"/>
      <c r="C24" s="19"/>
      <c r="D24" s="19"/>
      <c r="E24" s="19"/>
      <c r="F24" s="19"/>
      <c r="G24" s="20">
        <f t="shared" ref="G24:H24" si="12">SUM(G19:G23)</f>
        <v>0</v>
      </c>
      <c r="H24" s="21">
        <f t="shared" si="12"/>
        <v>0</v>
      </c>
    </row>
    <row r="25" ht="19.5" customHeight="1" spans="1:8" x14ac:dyDescent="0.25">
      <c r="A25" s="6">
        <v>46321</v>
      </c>
      <c r="B25" s="7" t="s">
        <v>19</v>
      </c>
      <c r="C25" s="15"/>
      <c r="D25" s="14"/>
      <c r="E25" s="15"/>
      <c r="F25" s="14"/>
      <c r="G25" s="10">
        <f t="shared" ref="G25:G26" si="13">IF(OR(C25="",D25="",E25="",F25=""),"",(D25-C25)+(F25-E25))</f>
      </c>
      <c r="H25" s="11">
        <f t="shared" ref="H25:H26" si="14">IF(G25="","",MAX(0,G25-TIME(7,0,0)))</f>
      </c>
    </row>
    <row r="26" ht="19.5" customHeight="1" spans="1:8" x14ac:dyDescent="0.25">
      <c r="A26" s="12">
        <v>46322</v>
      </c>
      <c r="B26" s="13" t="s">
        <v>20</v>
      </c>
      <c r="C26" s="15"/>
      <c r="D26" s="14"/>
      <c r="E26" s="15"/>
      <c r="F26" s="14"/>
      <c r="G26" s="10">
        <f t="shared" si="13"/>
      </c>
      <c r="H26" s="11">
        <f t="shared" si="14"/>
      </c>
    </row>
    <row r="27" ht="19.5" customHeight="1" spans="1:8" x14ac:dyDescent="0.25">
      <c r="A27" s="22">
        <v>46323</v>
      </c>
      <c r="B27" s="23" t="s">
        <v>25</v>
      </c>
      <c r="C27" s="24"/>
      <c r="D27" s="24"/>
      <c r="E27" s="24"/>
      <c r="F27" s="25"/>
      <c r="G27" s="26" t="s">
        <v>26</v>
      </c>
      <c r="H27" s="27" t="s">
        <v>27</v>
      </c>
    </row>
    <row r="28" ht="19.5" customHeight="1" spans="1:8" x14ac:dyDescent="0.25">
      <c r="A28" s="12">
        <v>46324</v>
      </c>
      <c r="B28" s="13" t="s">
        <v>22</v>
      </c>
      <c r="C28" s="15"/>
      <c r="D28" s="14"/>
      <c r="E28" s="15"/>
      <c r="F28" s="14"/>
      <c r="G28" s="10">
        <f t="shared" ref="G28:G29" si="15">IF(OR(C28="",D28="",E28="",F28=""),"",(D28-C28)+(F28-E28))</f>
      </c>
      <c r="H28" s="11">
        <f t="shared" ref="H28:H29" si="16">IF(G28="","",MAX(0,G28-TIME(7,0,0)))</f>
      </c>
    </row>
    <row r="29" ht="19.5" customHeight="1" spans="1:8" x14ac:dyDescent="0.25">
      <c r="A29" s="6">
        <v>46325</v>
      </c>
      <c r="B29" s="7" t="s">
        <v>23</v>
      </c>
      <c r="C29" s="15"/>
      <c r="D29" s="14"/>
      <c r="E29" s="15"/>
      <c r="F29" s="14"/>
      <c r="G29" s="10">
        <f t="shared" si="15"/>
      </c>
      <c r="H29" s="11">
        <f t="shared" si="16"/>
      </c>
    </row>
    <row r="30" ht="21.75" customHeight="1" spans="1:8" x14ac:dyDescent="0.25">
      <c r="A30" s="17" t="s">
        <v>31</v>
      </c>
      <c r="B30" s="18"/>
      <c r="C30" s="19"/>
      <c r="D30" s="19"/>
      <c r="E30" s="19"/>
      <c r="F30" s="19"/>
      <c r="G30" s="20">
        <f>SUM(G25:G29)-TIME(7,0,0)</f>
        <v>-0.2916666666678793</v>
      </c>
      <c r="H30" s="21">
        <f>SUM(H25:H29)</f>
        <v>0</v>
      </c>
    </row>
    <row r="31" ht="25.5" customHeight="1" spans="1:8" x14ac:dyDescent="0.25">
      <c r="A31" s="28" t="s">
        <v>53</v>
      </c>
      <c r="B31" s="29"/>
      <c r="C31" s="29"/>
      <c r="D31" s="29"/>
      <c r="E31" s="29"/>
      <c r="F31" s="30"/>
      <c r="G31" s="31">
        <f t="shared" ref="G31:H31" si="17">G6+G12+G18+G24+G30</f>
        <v>-0.5833333333321207</v>
      </c>
      <c r="H31" s="32">
        <f t="shared" si="17"/>
        <v>0</v>
      </c>
    </row>
    <row r="32" ht="15.75" customHeight="1" x14ac:dyDescent="0.25"/>
    <row r="33" ht="15.75" customHeight="1" spans="1:8" x14ac:dyDescent="0.25">
      <c r="A33" s="35" t="s">
        <v>47</v>
      </c>
      <c r="B33"/>
      <c r="C33"/>
      <c r="D33"/>
      <c r="E33"/>
      <c r="F33"/>
      <c r="G33"/>
      <c r="H33"/>
    </row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A6:B6"/>
    <mergeCell ref="A12:B12"/>
    <mergeCell ref="B15:F15"/>
    <mergeCell ref="A18:B18"/>
    <mergeCell ref="A24:B24"/>
    <mergeCell ref="B27:F27"/>
    <mergeCell ref="A30:B30"/>
    <mergeCell ref="A31:F31"/>
    <mergeCell ref="A33:H33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54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</row>
    <row r="4" ht="19.5" customHeight="1" spans="1:8" x14ac:dyDescent="0.25">
      <c r="A4" s="6">
        <v>46328</v>
      </c>
      <c r="B4" s="7" t="s">
        <v>19</v>
      </c>
      <c r="C4" s="15"/>
      <c r="D4" s="14"/>
      <c r="E4" s="15"/>
      <c r="F4" s="14"/>
      <c r="G4" s="10">
        <f t="shared" ref="G4:G8" si="0">IF(OR(C4="",D4="",E4="",F4=""),"",(D4-C4)+(F4-E4))</f>
      </c>
      <c r="H4" s="11">
        <f t="shared" ref="H4:H8" si="1">IF(G4="","",MAX(0,G4-TIME(7,0,0)))</f>
      </c>
    </row>
    <row r="5" ht="19.5" customHeight="1" spans="1:8" x14ac:dyDescent="0.25">
      <c r="A5" s="12">
        <v>46329</v>
      </c>
      <c r="B5" s="13" t="s">
        <v>20</v>
      </c>
      <c r="C5" s="15"/>
      <c r="D5" s="14"/>
      <c r="E5" s="15"/>
      <c r="F5" s="14"/>
      <c r="G5" s="10">
        <f t="shared" si="0"/>
      </c>
      <c r="H5" s="11">
        <f t="shared" si="1"/>
      </c>
    </row>
    <row r="6" ht="19.5" customHeight="1" spans="1:8" x14ac:dyDescent="0.25">
      <c r="A6" s="6">
        <v>46330</v>
      </c>
      <c r="B6" s="7" t="s">
        <v>21</v>
      </c>
      <c r="C6" s="15"/>
      <c r="D6" s="14"/>
      <c r="E6" s="15"/>
      <c r="F6" s="14"/>
      <c r="G6" s="10">
        <f t="shared" si="0"/>
      </c>
      <c r="H6" s="11">
        <f t="shared" si="1"/>
      </c>
    </row>
    <row r="7" ht="19.5" customHeight="1" spans="1:8" x14ac:dyDescent="0.25">
      <c r="A7" s="12">
        <v>46331</v>
      </c>
      <c r="B7" s="13" t="s">
        <v>22</v>
      </c>
      <c r="C7" s="15"/>
      <c r="D7" s="14"/>
      <c r="E7" s="15"/>
      <c r="F7" s="14"/>
      <c r="G7" s="10">
        <f t="shared" si="0"/>
      </c>
      <c r="H7" s="11">
        <f t="shared" si="1"/>
      </c>
    </row>
    <row r="8" ht="19.5" customHeight="1" spans="1:8" x14ac:dyDescent="0.25">
      <c r="A8" s="6">
        <v>46332</v>
      </c>
      <c r="B8" s="7" t="s">
        <v>23</v>
      </c>
      <c r="C8" s="15"/>
      <c r="D8" s="14"/>
      <c r="E8" s="15"/>
      <c r="F8" s="14"/>
      <c r="G8" s="10">
        <f t="shared" si="0"/>
      </c>
      <c r="H8" s="11">
        <f t="shared" si="1"/>
      </c>
    </row>
    <row r="9" ht="21.75" customHeight="1" spans="1:8" x14ac:dyDescent="0.25">
      <c r="A9" s="17" t="s">
        <v>24</v>
      </c>
      <c r="B9" s="18"/>
      <c r="C9" s="19"/>
      <c r="D9" s="19"/>
      <c r="E9" s="19"/>
      <c r="F9" s="19"/>
      <c r="G9" s="20">
        <f t="shared" ref="G9:H9" si="2">SUM(G4:G8)</f>
        <v>0</v>
      </c>
      <c r="H9" s="21">
        <f t="shared" si="2"/>
        <v>0</v>
      </c>
    </row>
    <row r="10" ht="19.5" customHeight="1" spans="1:8" x14ac:dyDescent="0.25">
      <c r="A10" s="6">
        <v>46335</v>
      </c>
      <c r="B10" s="7" t="s">
        <v>19</v>
      </c>
      <c r="C10" s="15"/>
      <c r="D10" s="14"/>
      <c r="E10" s="15"/>
      <c r="F10" s="14"/>
      <c r="G10" s="10">
        <f t="shared" ref="G10:G11" si="3">IF(OR(C10="",D10="",E10="",F10=""),"",(D10-C10)+(F10-E10))</f>
      </c>
      <c r="H10" s="11">
        <f t="shared" ref="H10:H11" si="4">IF(G10="","",MAX(0,G10-TIME(7,0,0)))</f>
      </c>
    </row>
    <row r="11" ht="19.5" customHeight="1" spans="1:8" x14ac:dyDescent="0.25">
      <c r="A11" s="12">
        <v>46336</v>
      </c>
      <c r="B11" s="13" t="s">
        <v>20</v>
      </c>
      <c r="C11" s="15"/>
      <c r="D11" s="14"/>
      <c r="E11" s="15"/>
      <c r="F11" s="14"/>
      <c r="G11" s="10">
        <f t="shared" si="3"/>
      </c>
      <c r="H11" s="11">
        <f t="shared" si="4"/>
      </c>
    </row>
    <row r="12" ht="19.5" customHeight="1" spans="1:8" x14ac:dyDescent="0.25">
      <c r="A12" s="22">
        <v>46337</v>
      </c>
      <c r="B12" s="23" t="s">
        <v>25</v>
      </c>
      <c r="C12" s="24"/>
      <c r="D12" s="24"/>
      <c r="E12" s="24"/>
      <c r="F12" s="25"/>
      <c r="G12" s="26" t="s">
        <v>26</v>
      </c>
      <c r="H12" s="27" t="s">
        <v>27</v>
      </c>
    </row>
    <row r="13" ht="19.5" customHeight="1" spans="1:8" x14ac:dyDescent="0.25">
      <c r="A13" s="12">
        <v>46338</v>
      </c>
      <c r="B13" s="13" t="s">
        <v>22</v>
      </c>
      <c r="C13" s="15"/>
      <c r="D13" s="14"/>
      <c r="E13" s="15"/>
      <c r="F13" s="14"/>
      <c r="G13" s="10">
        <f t="shared" ref="G13:G14" si="5">IF(OR(C13="",D13="",E13="",F13=""),"",(D13-C13)+(F13-E13))</f>
      </c>
      <c r="H13" s="11">
        <f t="shared" ref="H13:H14" si="6">IF(G13="","",MAX(0,G13-TIME(7,0,0)))</f>
      </c>
    </row>
    <row r="14" ht="19.5" customHeight="1" spans="1:8" x14ac:dyDescent="0.25">
      <c r="A14" s="6">
        <v>46339</v>
      </c>
      <c r="B14" s="7" t="s">
        <v>23</v>
      </c>
      <c r="C14" s="15"/>
      <c r="D14" s="14"/>
      <c r="E14" s="15"/>
      <c r="F14" s="14"/>
      <c r="G14" s="10">
        <f t="shared" si="5"/>
      </c>
      <c r="H14" s="11">
        <f t="shared" si="6"/>
      </c>
    </row>
    <row r="15" ht="21.75" customHeight="1" spans="1:8" x14ac:dyDescent="0.25">
      <c r="A15" s="17" t="s">
        <v>28</v>
      </c>
      <c r="B15" s="18"/>
      <c r="C15" s="19"/>
      <c r="D15" s="19"/>
      <c r="E15" s="19"/>
      <c r="F15" s="19"/>
      <c r="G15" s="20">
        <f>SUM(G10:G14)-TIME(7,0,0)</f>
        <v>-0.2916666666678793</v>
      </c>
      <c r="H15" s="21">
        <f>SUM(H10:H14)</f>
        <v>0</v>
      </c>
    </row>
    <row r="16" ht="19.5" customHeight="1" spans="1:8" x14ac:dyDescent="0.25">
      <c r="A16" s="6">
        <v>46342</v>
      </c>
      <c r="B16" s="7" t="s">
        <v>19</v>
      </c>
      <c r="C16" s="15"/>
      <c r="D16" s="14"/>
      <c r="E16" s="15"/>
      <c r="F16" s="14"/>
      <c r="G16" s="10">
        <f t="shared" ref="G16:G20" si="7">IF(OR(C16="",D16="",E16="",F16=""),"",(D16-C16)+(F16-E16))</f>
      </c>
      <c r="H16" s="11">
        <f t="shared" ref="H16:H20" si="8">IF(G16="","",MAX(0,G16-TIME(7,0,0)))</f>
      </c>
    </row>
    <row r="17" ht="19.5" customHeight="1" spans="1:8" x14ac:dyDescent="0.25">
      <c r="A17" s="12">
        <v>46343</v>
      </c>
      <c r="B17" s="13" t="s">
        <v>20</v>
      </c>
      <c r="C17" s="15"/>
      <c r="D17" s="14"/>
      <c r="E17" s="15"/>
      <c r="F17" s="14"/>
      <c r="G17" s="10">
        <f t="shared" si="7"/>
      </c>
      <c r="H17" s="11">
        <f t="shared" si="8"/>
      </c>
    </row>
    <row r="18" ht="19.5" customHeight="1" spans="1:8" x14ac:dyDescent="0.25">
      <c r="A18" s="6">
        <v>46344</v>
      </c>
      <c r="B18" s="7" t="s">
        <v>21</v>
      </c>
      <c r="C18" s="15"/>
      <c r="D18" s="14"/>
      <c r="E18" s="15"/>
      <c r="F18" s="14"/>
      <c r="G18" s="10">
        <f t="shared" si="7"/>
      </c>
      <c r="H18" s="11">
        <f t="shared" si="8"/>
      </c>
    </row>
    <row r="19" ht="19.5" customHeight="1" spans="1:8" x14ac:dyDescent="0.25">
      <c r="A19" s="12">
        <v>46345</v>
      </c>
      <c r="B19" s="13" t="s">
        <v>22</v>
      </c>
      <c r="C19" s="15"/>
      <c r="D19" s="14"/>
      <c r="E19" s="15"/>
      <c r="F19" s="14"/>
      <c r="G19" s="10">
        <f t="shared" si="7"/>
      </c>
      <c r="H19" s="11">
        <f t="shared" si="8"/>
      </c>
    </row>
    <row r="20" ht="19.5" customHeight="1" spans="1:8" x14ac:dyDescent="0.25">
      <c r="A20" s="6">
        <v>46346</v>
      </c>
      <c r="B20" s="7" t="s">
        <v>23</v>
      </c>
      <c r="C20" s="15"/>
      <c r="D20" s="14"/>
      <c r="E20" s="15"/>
      <c r="F20" s="14"/>
      <c r="G20" s="10">
        <f t="shared" si="7"/>
      </c>
      <c r="H20" s="11">
        <f t="shared" si="8"/>
      </c>
    </row>
    <row r="21" ht="21.75" customHeight="1" spans="1:8" x14ac:dyDescent="0.25">
      <c r="A21" s="17" t="s">
        <v>29</v>
      </c>
      <c r="B21" s="18"/>
      <c r="C21" s="19"/>
      <c r="D21" s="19"/>
      <c r="E21" s="19"/>
      <c r="F21" s="19"/>
      <c r="G21" s="20">
        <f t="shared" ref="G21:H21" si="9">SUM(G16:G20)</f>
        <v>0</v>
      </c>
      <c r="H21" s="21">
        <f t="shared" si="9"/>
        <v>0</v>
      </c>
    </row>
    <row r="22" ht="19.5" customHeight="1" spans="1:8" x14ac:dyDescent="0.25">
      <c r="A22" s="6">
        <v>46349</v>
      </c>
      <c r="B22" s="7" t="s">
        <v>19</v>
      </c>
      <c r="C22" s="15"/>
      <c r="D22" s="14"/>
      <c r="E22" s="15"/>
      <c r="F22" s="14"/>
      <c r="G22" s="10">
        <f t="shared" ref="G22:G23" si="10">IF(OR(C22="",D22="",E22="",F22=""),"",(D22-C22)+(F22-E22))</f>
      </c>
      <c r="H22" s="11">
        <f t="shared" ref="H22:H23" si="11">IF(G22="","",MAX(0,G22-TIME(7,0,0)))</f>
      </c>
    </row>
    <row r="23" ht="19.5" customHeight="1" spans="1:8" x14ac:dyDescent="0.25">
      <c r="A23" s="12">
        <v>46350</v>
      </c>
      <c r="B23" s="13" t="s">
        <v>20</v>
      </c>
      <c r="C23" s="15"/>
      <c r="D23" s="14"/>
      <c r="E23" s="15"/>
      <c r="F23" s="14"/>
      <c r="G23" s="10">
        <f t="shared" si="10"/>
      </c>
      <c r="H23" s="11">
        <f t="shared" si="11"/>
      </c>
    </row>
    <row r="24" ht="19.5" customHeight="1" spans="1:8" x14ac:dyDescent="0.25">
      <c r="A24" s="22">
        <v>46351</v>
      </c>
      <c r="B24" s="23" t="s">
        <v>25</v>
      </c>
      <c r="C24" s="24"/>
      <c r="D24" s="24"/>
      <c r="E24" s="24"/>
      <c r="F24" s="25"/>
      <c r="G24" s="26" t="s">
        <v>26</v>
      </c>
      <c r="H24" s="27" t="s">
        <v>27</v>
      </c>
    </row>
    <row r="25" ht="19.5" customHeight="1" spans="1:8" x14ac:dyDescent="0.25">
      <c r="A25" s="12">
        <v>46352</v>
      </c>
      <c r="B25" s="13" t="s">
        <v>22</v>
      </c>
      <c r="C25" s="15"/>
      <c r="D25" s="14"/>
      <c r="E25" s="15"/>
      <c r="F25" s="14"/>
      <c r="G25" s="10">
        <f t="shared" ref="G25:G26" si="12">IF(OR(C25="",D25="",E25="",F25=""),"",(D25-C25)+(F25-E25))</f>
      </c>
      <c r="H25" s="11">
        <f t="shared" ref="H25:H26" si="13">IF(G25="","",MAX(0,G25-TIME(7,0,0)))</f>
      </c>
    </row>
    <row r="26" ht="19.5" customHeight="1" spans="1:8" x14ac:dyDescent="0.25">
      <c r="A26" s="6">
        <v>46353</v>
      </c>
      <c r="B26" s="7" t="s">
        <v>23</v>
      </c>
      <c r="C26" s="15"/>
      <c r="D26" s="14"/>
      <c r="E26" s="15"/>
      <c r="F26" s="14"/>
      <c r="G26" s="10">
        <f t="shared" si="12"/>
      </c>
      <c r="H26" s="11">
        <f t="shared" si="13"/>
      </c>
    </row>
    <row r="27" ht="21.75" customHeight="1" spans="1:8" x14ac:dyDescent="0.25">
      <c r="A27" s="17" t="s">
        <v>30</v>
      </c>
      <c r="B27" s="18"/>
      <c r="C27" s="19"/>
      <c r="D27" s="19"/>
      <c r="E27" s="19"/>
      <c r="F27" s="19"/>
      <c r="G27" s="20">
        <f>SUM(G22:G26)-TIME(7,0,0)</f>
        <v>-0.2916666666678793</v>
      </c>
      <c r="H27" s="21">
        <f>SUM(H22:H26)</f>
        <v>0</v>
      </c>
    </row>
    <row r="28" ht="19.5" customHeight="1" spans="1:8" x14ac:dyDescent="0.25">
      <c r="A28" s="6">
        <v>46356</v>
      </c>
      <c r="B28" s="7" t="s">
        <v>19</v>
      </c>
      <c r="C28" s="15"/>
      <c r="D28" s="14"/>
      <c r="E28" s="15"/>
      <c r="F28" s="14"/>
      <c r="G28" s="10">
        <f>IF(OR(C28="",D28="",E28="",F28=""),"",(D28-C28)+(F28-E28))</f>
      </c>
      <c r="H28" s="11">
        <f>IF(G28="","",MAX(0,G28-TIME(7,0,0)))</f>
      </c>
    </row>
    <row r="29" ht="21.75" customHeight="1" spans="1:8" x14ac:dyDescent="0.25">
      <c r="A29" s="17" t="s">
        <v>31</v>
      </c>
      <c r="B29" s="18"/>
      <c r="C29" s="19"/>
      <c r="D29" s="19"/>
      <c r="E29" s="19"/>
      <c r="F29" s="19"/>
      <c r="G29" s="20">
        <f t="shared" ref="G29:H29" si="14">SUM(G28)</f>
        <v>0</v>
      </c>
      <c r="H29" s="21">
        <f t="shared" si="14"/>
        <v>0</v>
      </c>
    </row>
    <row r="30" ht="25.5" customHeight="1" spans="1:8" x14ac:dyDescent="0.25">
      <c r="A30" s="28" t="s">
        <v>55</v>
      </c>
      <c r="B30" s="29"/>
      <c r="C30" s="29"/>
      <c r="D30" s="29"/>
      <c r="E30" s="29"/>
      <c r="F30" s="30"/>
      <c r="G30" s="31">
        <f t="shared" ref="G30:H30" si="15">G9+G15+G21+G27+G29</f>
        <v>-0.5833333333321207</v>
      </c>
      <c r="H30" s="32">
        <f t="shared" si="15"/>
        <v>0</v>
      </c>
    </row>
    <row r="31" ht="15.75" customHeight="1" x14ac:dyDescent="0.25"/>
    <row r="32" ht="15.75" customHeight="1" spans="1:8" x14ac:dyDescent="0.25">
      <c r="A32" s="35" t="s">
        <v>47</v>
      </c>
      <c r="B32"/>
      <c r="C32"/>
      <c r="D32"/>
      <c r="E32"/>
      <c r="F32"/>
      <c r="G32"/>
      <c r="H32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A9:B9"/>
    <mergeCell ref="B12:F12"/>
    <mergeCell ref="A15:B15"/>
    <mergeCell ref="A21:B21"/>
    <mergeCell ref="B24:F24"/>
    <mergeCell ref="A27:B27"/>
    <mergeCell ref="A29:B29"/>
    <mergeCell ref="A30:F30"/>
    <mergeCell ref="A32:H32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56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</row>
    <row r="4" ht="19.5" customHeight="1" spans="1:8" x14ac:dyDescent="0.25">
      <c r="A4" s="6">
        <v>46357</v>
      </c>
      <c r="B4" s="7" t="s">
        <v>20</v>
      </c>
      <c r="C4" s="15"/>
      <c r="D4" s="14"/>
      <c r="E4" s="15"/>
      <c r="F4" s="14"/>
      <c r="G4" s="10">
        <f t="shared" ref="G4:G7" si="0">IF(OR(C4="",D4="",E4="",F4=""),"",(D4-C4)+(F4-E4))</f>
      </c>
      <c r="H4" s="11">
        <f t="shared" ref="H4:H7" si="1">IF(G4="","",MAX(0,G4-TIME(7,0,0)))</f>
      </c>
    </row>
    <row r="5" ht="19.5" customHeight="1" spans="1:8" x14ac:dyDescent="0.25">
      <c r="A5" s="12">
        <v>46358</v>
      </c>
      <c r="B5" s="13" t="s">
        <v>21</v>
      </c>
      <c r="C5" s="15"/>
      <c r="D5" s="14"/>
      <c r="E5" s="15"/>
      <c r="F5" s="14"/>
      <c r="G5" s="10">
        <f t="shared" si="0"/>
      </c>
      <c r="H5" s="11">
        <f t="shared" si="1"/>
      </c>
    </row>
    <row r="6" ht="19.5" customHeight="1" spans="1:8" x14ac:dyDescent="0.25">
      <c r="A6" s="6">
        <v>46359</v>
      </c>
      <c r="B6" s="7" t="s">
        <v>22</v>
      </c>
      <c r="C6" s="15"/>
      <c r="D6" s="14"/>
      <c r="E6" s="15"/>
      <c r="F6" s="14"/>
      <c r="G6" s="10">
        <f t="shared" si="0"/>
      </c>
      <c r="H6" s="11">
        <f t="shared" si="1"/>
      </c>
    </row>
    <row r="7" ht="19.5" customHeight="1" spans="1:8" x14ac:dyDescent="0.25">
      <c r="A7" s="12">
        <v>46360</v>
      </c>
      <c r="B7" s="13" t="s">
        <v>23</v>
      </c>
      <c r="C7" s="15"/>
      <c r="D7" s="14"/>
      <c r="E7" s="15"/>
      <c r="F7" s="14"/>
      <c r="G7" s="10">
        <f t="shared" si="0"/>
      </c>
      <c r="H7" s="11">
        <f t="shared" si="1"/>
      </c>
    </row>
    <row r="8" ht="21.75" customHeight="1" spans="1:8" x14ac:dyDescent="0.25">
      <c r="A8" s="17" t="s">
        <v>24</v>
      </c>
      <c r="B8" s="18"/>
      <c r="C8" s="19"/>
      <c r="D8" s="19"/>
      <c r="E8" s="19"/>
      <c r="F8" s="19"/>
      <c r="G8" s="20">
        <f t="shared" ref="G8:H8" si="2">SUM(G4:G7)</f>
        <v>0</v>
      </c>
      <c r="H8" s="21">
        <f t="shared" si="2"/>
        <v>0</v>
      </c>
    </row>
    <row r="9" ht="19.5" customHeight="1" spans="1:8" x14ac:dyDescent="0.25">
      <c r="A9" s="6">
        <v>46363</v>
      </c>
      <c r="B9" s="7" t="s">
        <v>19</v>
      </c>
      <c r="C9" s="15"/>
      <c r="D9" s="14"/>
      <c r="E9" s="15"/>
      <c r="F9" s="14"/>
      <c r="G9" s="10">
        <f t="shared" ref="G9:G10" si="3">IF(OR(C9="",D9="",E9="",F9=""),"",(D9-C9)+(F9-E9))</f>
      </c>
      <c r="H9" s="11">
        <f t="shared" ref="H9:H10" si="4">IF(G9="","",MAX(0,G9-TIME(7,0,0)))</f>
      </c>
    </row>
    <row r="10" ht="19.5" customHeight="1" spans="1:8" x14ac:dyDescent="0.25">
      <c r="A10" s="12">
        <v>46364</v>
      </c>
      <c r="B10" s="13" t="s">
        <v>20</v>
      </c>
      <c r="C10" s="15"/>
      <c r="D10" s="14"/>
      <c r="E10" s="15"/>
      <c r="F10" s="14"/>
      <c r="G10" s="10">
        <f t="shared" si="3"/>
      </c>
      <c r="H10" s="11">
        <f t="shared" si="4"/>
      </c>
    </row>
    <row r="11" ht="19.5" customHeight="1" spans="1:8" x14ac:dyDescent="0.25">
      <c r="A11" s="22">
        <v>46365</v>
      </c>
      <c r="B11" s="23" t="s">
        <v>25</v>
      </c>
      <c r="C11" s="24"/>
      <c r="D11" s="24"/>
      <c r="E11" s="24"/>
      <c r="F11" s="25"/>
      <c r="G11" s="26" t="s">
        <v>26</v>
      </c>
      <c r="H11" s="27" t="s">
        <v>27</v>
      </c>
    </row>
    <row r="12" ht="19.5" customHeight="1" spans="1:8" x14ac:dyDescent="0.25">
      <c r="A12" s="12">
        <v>46366</v>
      </c>
      <c r="B12" s="13" t="s">
        <v>22</v>
      </c>
      <c r="C12" s="15"/>
      <c r="D12" s="14"/>
      <c r="E12" s="15"/>
      <c r="F12" s="14"/>
      <c r="G12" s="10">
        <f t="shared" ref="G12:G13" si="5">IF(OR(C12="",D12="",E12="",F12=""),"",(D12-C12)+(F12-E12))</f>
      </c>
      <c r="H12" s="11">
        <f t="shared" ref="H12:H13" si="6">IF(G12="","",MAX(0,G12-TIME(7,0,0)))</f>
      </c>
    </row>
    <row r="13" ht="19.5" customHeight="1" spans="1:8" x14ac:dyDescent="0.25">
      <c r="A13" s="6">
        <v>46367</v>
      </c>
      <c r="B13" s="7" t="s">
        <v>23</v>
      </c>
      <c r="C13" s="15"/>
      <c r="D13" s="14"/>
      <c r="E13" s="15"/>
      <c r="F13" s="14"/>
      <c r="G13" s="10">
        <f t="shared" si="5"/>
      </c>
      <c r="H13" s="11">
        <f t="shared" si="6"/>
      </c>
    </row>
    <row r="14" ht="21.75" customHeight="1" spans="1:8" x14ac:dyDescent="0.25">
      <c r="A14" s="17" t="s">
        <v>28</v>
      </c>
      <c r="B14" s="18"/>
      <c r="C14" s="19"/>
      <c r="D14" s="19"/>
      <c r="E14" s="19"/>
      <c r="F14" s="19"/>
      <c r="G14" s="20">
        <f>SUM(G9:G13)-TIME(7,0,0)</f>
        <v>-0.2916666666678793</v>
      </c>
      <c r="H14" s="21">
        <f>SUM(H9:H13)</f>
        <v>0</v>
      </c>
    </row>
    <row r="15" ht="19.5" customHeight="1" spans="1:8" x14ac:dyDescent="0.25">
      <c r="A15" s="6">
        <v>46370</v>
      </c>
      <c r="B15" s="7" t="s">
        <v>19</v>
      </c>
      <c r="C15" s="15"/>
      <c r="D15" s="14"/>
      <c r="E15" s="15"/>
      <c r="F15" s="14"/>
      <c r="G15" s="10">
        <f t="shared" ref="G15:G19" si="7">IF(OR(C15="",D15="",E15="",F15=""),"",(D15-C15)+(F15-E15))</f>
      </c>
      <c r="H15" s="11">
        <f t="shared" ref="H15:H19" si="8">IF(G15="","",MAX(0,G15-TIME(7,0,0)))</f>
      </c>
    </row>
    <row r="16" ht="19.5" customHeight="1" spans="1:8" x14ac:dyDescent="0.25">
      <c r="A16" s="12">
        <v>46371</v>
      </c>
      <c r="B16" s="13" t="s">
        <v>20</v>
      </c>
      <c r="C16" s="15"/>
      <c r="D16" s="14"/>
      <c r="E16" s="15"/>
      <c r="F16" s="14"/>
      <c r="G16" s="10">
        <f t="shared" si="7"/>
      </c>
      <c r="H16" s="11">
        <f t="shared" si="8"/>
      </c>
    </row>
    <row r="17" ht="19.5" customHeight="1" spans="1:8" x14ac:dyDescent="0.25">
      <c r="A17" s="6">
        <v>46372</v>
      </c>
      <c r="B17" s="7" t="s">
        <v>21</v>
      </c>
      <c r="C17" s="15"/>
      <c r="D17" s="14"/>
      <c r="E17" s="15"/>
      <c r="F17" s="14"/>
      <c r="G17" s="10">
        <f t="shared" si="7"/>
      </c>
      <c r="H17" s="11">
        <f t="shared" si="8"/>
      </c>
    </row>
    <row r="18" ht="19.5" customHeight="1" spans="1:8" x14ac:dyDescent="0.25">
      <c r="A18" s="12">
        <v>46373</v>
      </c>
      <c r="B18" s="13" t="s">
        <v>22</v>
      </c>
      <c r="C18" s="15"/>
      <c r="D18" s="14"/>
      <c r="E18" s="15"/>
      <c r="F18" s="14"/>
      <c r="G18" s="10">
        <f t="shared" si="7"/>
      </c>
      <c r="H18" s="11">
        <f t="shared" si="8"/>
      </c>
    </row>
    <row r="19" ht="19.5" customHeight="1" spans="1:8" x14ac:dyDescent="0.25">
      <c r="A19" s="6">
        <v>46374</v>
      </c>
      <c r="B19" s="7" t="s">
        <v>23</v>
      </c>
      <c r="C19" s="15"/>
      <c r="D19" s="14"/>
      <c r="E19" s="15"/>
      <c r="F19" s="14"/>
      <c r="G19" s="10">
        <f t="shared" si="7"/>
      </c>
      <c r="H19" s="11">
        <f t="shared" si="8"/>
      </c>
    </row>
    <row r="20" ht="21.75" customHeight="1" spans="1:8" x14ac:dyDescent="0.25">
      <c r="A20" s="17" t="s">
        <v>29</v>
      </c>
      <c r="B20" s="18"/>
      <c r="C20" s="19"/>
      <c r="D20" s="19"/>
      <c r="E20" s="19"/>
      <c r="F20" s="19"/>
      <c r="G20" s="20">
        <f t="shared" ref="G20:H20" si="9">SUM(G15:G19)</f>
        <v>0</v>
      </c>
      <c r="H20" s="21">
        <f t="shared" si="9"/>
        <v>0</v>
      </c>
    </row>
    <row r="21" ht="19.5" customHeight="1" spans="1:8" x14ac:dyDescent="0.25">
      <c r="A21" s="6">
        <v>46377</v>
      </c>
      <c r="B21" s="7" t="s">
        <v>19</v>
      </c>
      <c r="C21" s="15"/>
      <c r="D21" s="14"/>
      <c r="E21" s="15"/>
      <c r="F21" s="14"/>
      <c r="G21" s="10">
        <f t="shared" ref="G21:G22" si="10">IF(OR(C21="",D21="",E21="",F21=""),"",(D21-C21)+(F21-E21))</f>
      </c>
      <c r="H21" s="11">
        <f t="shared" ref="H21:H22" si="11">IF(G21="","",MAX(0,G21-TIME(7,0,0)))</f>
      </c>
    </row>
    <row r="22" ht="19.5" customHeight="1" spans="1:8" x14ac:dyDescent="0.25">
      <c r="A22" s="12">
        <v>46378</v>
      </c>
      <c r="B22" s="13" t="s">
        <v>20</v>
      </c>
      <c r="C22" s="15"/>
      <c r="D22" s="14"/>
      <c r="E22" s="15"/>
      <c r="F22" s="14"/>
      <c r="G22" s="10">
        <f t="shared" si="10"/>
      </c>
      <c r="H22" s="11">
        <f t="shared" si="11"/>
      </c>
    </row>
    <row r="23" ht="19.5" customHeight="1" spans="1:8" x14ac:dyDescent="0.25">
      <c r="A23" s="22">
        <v>46379</v>
      </c>
      <c r="B23" s="23" t="s">
        <v>25</v>
      </c>
      <c r="C23" s="24"/>
      <c r="D23" s="24"/>
      <c r="E23" s="24"/>
      <c r="F23" s="25"/>
      <c r="G23" s="26" t="s">
        <v>26</v>
      </c>
      <c r="H23" s="27" t="s">
        <v>27</v>
      </c>
    </row>
    <row r="24" ht="19.5" customHeight="1" spans="1:8" x14ac:dyDescent="0.25">
      <c r="A24" s="12">
        <v>46380</v>
      </c>
      <c r="B24" s="13" t="s">
        <v>22</v>
      </c>
      <c r="C24" s="15"/>
      <c r="D24" s="14"/>
      <c r="E24" s="15"/>
      <c r="F24" s="14"/>
      <c r="G24" s="10">
        <f t="shared" ref="G24:G25" si="12">IF(OR(C24="",D24="",E24="",F24=""),"",(D24-C24)+(F24-E24))</f>
      </c>
      <c r="H24" s="11">
        <f t="shared" ref="H24:H25" si="13">IF(G24="","",MAX(0,G24-TIME(7,0,0)))</f>
      </c>
    </row>
    <row r="25" ht="19.5" customHeight="1" spans="1:8" x14ac:dyDescent="0.25">
      <c r="A25" s="6">
        <v>46381</v>
      </c>
      <c r="B25" s="7" t="s">
        <v>23</v>
      </c>
      <c r="C25" s="15"/>
      <c r="D25" s="14"/>
      <c r="E25" s="15"/>
      <c r="F25" s="14"/>
      <c r="G25" s="10">
        <f t="shared" si="12"/>
      </c>
      <c r="H25" s="11">
        <f t="shared" si="13"/>
      </c>
    </row>
    <row r="26" ht="21.75" customHeight="1" spans="1:8" x14ac:dyDescent="0.25">
      <c r="A26" s="17" t="s">
        <v>30</v>
      </c>
      <c r="B26" s="18"/>
      <c r="C26" s="19"/>
      <c r="D26" s="19"/>
      <c r="E26" s="19"/>
      <c r="F26" s="19"/>
      <c r="G26" s="20">
        <f>SUM(G21:G25)-TIME(7,0,0)</f>
        <v>-0.2916666666678793</v>
      </c>
      <c r="H26" s="21">
        <f>SUM(H21:H25)</f>
        <v>0</v>
      </c>
    </row>
    <row r="27" ht="19.5" customHeight="1" spans="1:8" x14ac:dyDescent="0.25">
      <c r="A27" s="6">
        <v>46384</v>
      </c>
      <c r="B27" s="7" t="s">
        <v>19</v>
      </c>
      <c r="C27" s="15"/>
      <c r="D27" s="14"/>
      <c r="E27" s="15"/>
      <c r="F27" s="14"/>
      <c r="G27" s="10">
        <f t="shared" ref="G27:G30" si="14">IF(OR(C27="",D27="",E27="",F27=""),"",(D27-C27)+(F27-E27))</f>
      </c>
      <c r="H27" s="11">
        <f t="shared" ref="H27:H30" si="15">IF(G27="","",MAX(0,G27-TIME(7,0,0)))</f>
      </c>
    </row>
    <row r="28" ht="19.5" customHeight="1" spans="1:8" x14ac:dyDescent="0.25">
      <c r="A28" s="12">
        <v>46385</v>
      </c>
      <c r="B28" s="13" t="s">
        <v>20</v>
      </c>
      <c r="C28" s="15"/>
      <c r="D28" s="14"/>
      <c r="E28" s="15"/>
      <c r="F28" s="14"/>
      <c r="G28" s="10">
        <f t="shared" si="14"/>
      </c>
      <c r="H28" s="11">
        <f t="shared" si="15"/>
      </c>
    </row>
    <row r="29" ht="19.5" customHeight="1" spans="1:8" x14ac:dyDescent="0.25">
      <c r="A29" s="6">
        <v>46386</v>
      </c>
      <c r="B29" s="7" t="s">
        <v>21</v>
      </c>
      <c r="C29" s="15"/>
      <c r="D29" s="14"/>
      <c r="E29" s="15"/>
      <c r="F29" s="14"/>
      <c r="G29" s="10">
        <f t="shared" si="14"/>
      </c>
      <c r="H29" s="11">
        <f t="shared" si="15"/>
      </c>
    </row>
    <row r="30" ht="19.5" customHeight="1" spans="1:8" x14ac:dyDescent="0.25">
      <c r="A30" s="12">
        <v>46387</v>
      </c>
      <c r="B30" s="13" t="s">
        <v>22</v>
      </c>
      <c r="C30" s="15"/>
      <c r="D30" s="14"/>
      <c r="E30" s="15"/>
      <c r="F30" s="14"/>
      <c r="G30" s="10">
        <f t="shared" si="14"/>
      </c>
      <c r="H30" s="11">
        <f t="shared" si="15"/>
      </c>
    </row>
    <row r="31" ht="21.75" customHeight="1" spans="1:8" x14ac:dyDescent="0.25">
      <c r="A31" s="17" t="s">
        <v>31</v>
      </c>
      <c r="B31" s="18"/>
      <c r="C31" s="19"/>
      <c r="D31" s="19"/>
      <c r="E31" s="19"/>
      <c r="F31" s="19"/>
      <c r="G31" s="20">
        <f t="shared" ref="G31:H31" si="16">SUM(G27:G30)</f>
        <v>0</v>
      </c>
      <c r="H31" s="21">
        <f t="shared" si="16"/>
        <v>0</v>
      </c>
    </row>
    <row r="32" ht="25.5" customHeight="1" spans="1:8" x14ac:dyDescent="0.25">
      <c r="A32" s="28" t="s">
        <v>57</v>
      </c>
      <c r="B32" s="29"/>
      <c r="C32" s="29"/>
      <c r="D32" s="29"/>
      <c r="E32" s="29"/>
      <c r="F32" s="30"/>
      <c r="G32" s="31">
        <f t="shared" ref="G32:H32" si="17">G8+G14+G20+G26+G31</f>
        <v>-0.5833333333321207</v>
      </c>
      <c r="H32" s="32">
        <f t="shared" si="17"/>
        <v>0</v>
      </c>
    </row>
    <row r="33" ht="15.75" customHeight="1" x14ac:dyDescent="0.25"/>
    <row r="34" ht="15.75" customHeight="1" spans="1:8" x14ac:dyDescent="0.25">
      <c r="A34" s="35" t="s">
        <v>47</v>
      </c>
      <c r="B34"/>
      <c r="C34"/>
      <c r="D34"/>
      <c r="E34"/>
      <c r="F34"/>
      <c r="G34"/>
      <c r="H34"/>
    </row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A8:B8"/>
    <mergeCell ref="B11:F11"/>
    <mergeCell ref="A14:B14"/>
    <mergeCell ref="A20:B20"/>
    <mergeCell ref="B23:F23"/>
    <mergeCell ref="A26:B26"/>
    <mergeCell ref="A31:B31"/>
    <mergeCell ref="A32:F32"/>
    <mergeCell ref="A34:H34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" outlineLevelRow="0" outlineLevelCol="0" x14ac:dyDescent="0" defaultColWidth="12.63"/>
  <cols>
    <col min="1" max="1" width="19.5" customWidth="1"/>
    <col min="2" max="2" width="11" customWidth="1"/>
    <col min="3" max="4" width="14" customWidth="1"/>
    <col min="5" max="5" width="13" customWidth="1"/>
    <col min="6" max="7" width="12" customWidth="1"/>
    <col min="8" max="8" width="13" customWidth="1"/>
    <col min="9" max="10" width="0.13" hidden="1" customWidth="1"/>
    <col min="11" max="26" width="14.38" customWidth="1"/>
  </cols>
  <sheetData>
    <row r="1" ht="36" customHeight="1" spans="1:8" x14ac:dyDescent="0.25">
      <c r="A1" s="36" t="s">
        <v>58</v>
      </c>
      <c r="B1" s="2"/>
      <c r="C1" s="2"/>
      <c r="D1" s="2"/>
      <c r="E1" s="2"/>
      <c r="F1" s="2"/>
      <c r="G1" s="2"/>
      <c r="H1" s="2"/>
    </row>
    <row r="2" ht="13.5" customHeight="1" spans="1:8" x14ac:dyDescent="0.25">
      <c r="A2" s="3" t="s">
        <v>59</v>
      </c>
      <c r="B2" s="2"/>
      <c r="C2" s="2"/>
      <c r="D2" s="2"/>
      <c r="E2" s="2"/>
      <c r="F2" s="2"/>
      <c r="G2" s="2"/>
      <c r="H2" s="2"/>
    </row>
    <row r="4" ht="24" customHeight="1" spans="1:8" x14ac:dyDescent="0.25">
      <c r="A4" s="37" t="s">
        <v>60</v>
      </c>
      <c r="B4" s="2"/>
      <c r="C4" s="2"/>
      <c r="D4" s="2"/>
      <c r="E4" s="2"/>
      <c r="F4" s="2"/>
      <c r="G4" s="2"/>
      <c r="H4" s="2"/>
    </row>
    <row r="5" ht="31.5" customHeight="1" spans="1:8" x14ac:dyDescent="0.25">
      <c r="A5" s="38" t="s">
        <v>61</v>
      </c>
      <c r="B5" s="38" t="s">
        <v>62</v>
      </c>
      <c r="C5" s="38" t="s">
        <v>63</v>
      </c>
      <c r="D5" s="38" t="s">
        <v>64</v>
      </c>
      <c r="E5" s="38" t="s">
        <v>65</v>
      </c>
      <c r="F5" s="38" t="s">
        <v>66</v>
      </c>
      <c r="G5" s="38" t="s">
        <v>67</v>
      </c>
      <c r="H5" s="38" t="s">
        <v>68</v>
      </c>
    </row>
    <row r="6" ht="19.5" customHeight="1" spans="1:10" x14ac:dyDescent="0.25">
      <c r="A6" s="39" t="s">
        <v>69</v>
      </c>
      <c r="B6" s="40">
        <f>COUNTIF(Juin!C4:C29,"&lt;&gt;")</f>
        <v>2</v>
      </c>
      <c r="C6" s="10">
        <f>Juin!G31</f>
        <v>-0.34097222222044365</v>
      </c>
      <c r="D6" s="11">
        <f>Juin!H31</f>
        <v>0.07569444444379769</v>
      </c>
      <c r="E6" s="41">
        <f t="shared" ref="E6:E13" si="0">IFERROR(C6/B6,"")</f>
        <v>-0.17048611111022183</v>
      </c>
      <c r="F6" s="14">
        <f>IFERROR(AVERAGEIF(Juin!C4:C29,"&lt;&gt;"),"")</f>
        <v>0.29097222222117125</v>
      </c>
      <c r="G6" s="14">
        <f>IFERROR(AVERAGEIF(Juin!F4:F29,"&lt;&gt;"),"")</f>
        <v>0.6979166666678793</v>
      </c>
      <c r="H6" s="41">
        <f>IFERROR(AVERAGEIF(Juin!E4:E29,"&lt;&gt;")-AVERAGEIF(Juin!D4:D29,"&lt;&gt;"),"")</f>
        <v>0.043750000000727596</v>
      </c>
      <c r="I6" s="42">
        <f t="shared" ref="I6:J6" si="1">IFERROR(C6*24,0)</f>
        <v>-8.183333333</v>
      </c>
      <c r="J6" s="42">
        <f t="shared" si="1"/>
        <v>1.816666667</v>
      </c>
    </row>
    <row r="7" ht="19.5" customHeight="1" spans="1:10" x14ac:dyDescent="0.25">
      <c r="A7" s="43" t="s">
        <v>70</v>
      </c>
      <c r="B7" s="44">
        <f>COUNTIF(Juillet!C4:C30,"&lt;&gt;")</f>
        <v>0</v>
      </c>
      <c r="C7" s="10">
        <f>Juillet!G32</f>
        <v>-0.5833333333321207</v>
      </c>
      <c r="D7" s="11">
        <f>Juillet!H32</f>
        <v>0</v>
      </c>
      <c r="E7" s="45">
        <f t="shared" si="0"/>
      </c>
      <c r="F7" s="46">
        <f>IFERROR(AVERAGEIF(Juillet!C4:C30,"&lt;&gt;"),"")</f>
      </c>
      <c r="G7" s="46">
        <f>IFERROR(AVERAGEIF(Juillet!F4:F30,"&lt;&gt;"),"")</f>
      </c>
      <c r="H7" s="45">
        <f>IFERROR(AVERAGEIF(Juillet!E4:E30,"&lt;&gt;")-AVERAGEIF(Juillet!D4:D30,"&lt;&gt;"),"")</f>
      </c>
      <c r="I7" s="42">
        <f t="shared" ref="I7:J7" si="2">IFERROR(C7*24,0)</f>
        <v>-14</v>
      </c>
      <c r="J7" s="42">
        <f t="shared" si="2"/>
        <v>0</v>
      </c>
    </row>
    <row r="8" ht="19.5" customHeight="1" spans="1:10" x14ac:dyDescent="0.25">
      <c r="A8" s="39" t="s">
        <v>71</v>
      </c>
      <c r="B8" s="40">
        <f>COUNTIF('Août'!C4:C28,"&lt;&gt;")</f>
        <v>0</v>
      </c>
      <c r="C8" s="10">
        <f>'Août'!G30</f>
        <v>-0.5833333333321207</v>
      </c>
      <c r="D8" s="11">
        <f>'Août'!H30</f>
        <v>0</v>
      </c>
      <c r="E8" s="41">
        <f t="shared" si="0"/>
      </c>
      <c r="F8" s="14">
        <f>IFERROR(AVERAGEIF('Août'!C4:C28,"&lt;&gt;"),"")</f>
      </c>
      <c r="G8" s="14">
        <f>IFERROR(AVERAGEIF('Août'!F4:F28,"&lt;&gt;"),"")</f>
      </c>
      <c r="H8" s="41">
        <f>IFERROR(AVERAGEIF('Août'!E4:E28,"&lt;&gt;")-AVERAGEIF('Août'!D4:D28,"&lt;&gt;"),"")</f>
      </c>
      <c r="I8" s="42">
        <f t="shared" ref="I8:J8" si="3">IFERROR(C8*24,0)</f>
        <v>-14</v>
      </c>
      <c r="J8" s="42">
        <f t="shared" si="3"/>
        <v>0</v>
      </c>
    </row>
    <row r="9" ht="19.5" customHeight="1" spans="1:10" x14ac:dyDescent="0.25">
      <c r="A9" s="43" t="s">
        <v>72</v>
      </c>
      <c r="B9" s="44">
        <f>COUNTIF(Septembre!C4:C29,"&lt;&gt;")</f>
        <v>0</v>
      </c>
      <c r="C9" s="10">
        <f>Septembre!G31</f>
        <v>-0.875</v>
      </c>
      <c r="D9" s="11">
        <f>Septembre!H31</f>
        <v>0</v>
      </c>
      <c r="E9" s="45">
        <f t="shared" si="0"/>
      </c>
      <c r="F9" s="46">
        <f>IFERROR(AVERAGEIF(Septembre!C4:C29,"&lt;&gt;"),"")</f>
      </c>
      <c r="G9" s="46">
        <f>IFERROR(AVERAGEIF(Septembre!F4:F29,"&lt;&gt;"),"")</f>
      </c>
      <c r="H9" s="45">
        <f>IFERROR(AVERAGEIF(Septembre!E4:E29,"&lt;&gt;")-AVERAGEIF(Septembre!D4:D29,"&lt;&gt;"),"")</f>
      </c>
      <c r="I9" s="42">
        <f t="shared" ref="I9:J9" si="4">IFERROR(C9*24,0)</f>
        <v>-21</v>
      </c>
      <c r="J9" s="42">
        <f t="shared" si="4"/>
        <v>0</v>
      </c>
    </row>
    <row r="10" ht="19.5" customHeight="1" spans="1:10" x14ac:dyDescent="0.25">
      <c r="A10" s="39" t="s">
        <v>73</v>
      </c>
      <c r="B10" s="40">
        <f>COUNTIF(Octobre!C4:C29,"&lt;&gt;")</f>
        <v>0</v>
      </c>
      <c r="C10" s="10">
        <f>Octobre!G31</f>
        <v>-0.5833333333321207</v>
      </c>
      <c r="D10" s="11">
        <f>Octobre!H31</f>
        <v>0</v>
      </c>
      <c r="E10" s="41">
        <f t="shared" si="0"/>
      </c>
      <c r="F10" s="14">
        <f>IFERROR(AVERAGEIF(Octobre!C4:C29,"&lt;&gt;"),"")</f>
      </c>
      <c r="G10" s="14">
        <f>IFERROR(AVERAGEIF(Octobre!F4:F29,"&lt;&gt;"),"")</f>
      </c>
      <c r="H10" s="41">
        <f>IFERROR(AVERAGEIF(Octobre!E4:E29,"&lt;&gt;")-AVERAGEIF(Octobre!D4:D29,"&lt;&gt;"),"")</f>
      </c>
      <c r="I10" s="42">
        <f t="shared" ref="I10:J10" si="5">IFERROR(C10*24,0)</f>
        <v>-14</v>
      </c>
      <c r="J10" s="42">
        <f t="shared" si="5"/>
        <v>0</v>
      </c>
    </row>
    <row r="11" ht="19.5" customHeight="1" spans="1:10" x14ac:dyDescent="0.25">
      <c r="A11" s="43" t="s">
        <v>74</v>
      </c>
      <c r="B11" s="44">
        <f>COUNTIF(Novembre!C4:C28,"&lt;&gt;")</f>
        <v>0</v>
      </c>
      <c r="C11" s="10">
        <f>Novembre!G30</f>
        <v>-0.5833333333321207</v>
      </c>
      <c r="D11" s="11">
        <f>Novembre!H30</f>
        <v>0</v>
      </c>
      <c r="E11" s="45">
        <f t="shared" si="0"/>
      </c>
      <c r="F11" s="46">
        <f>IFERROR(AVERAGEIF(Novembre!C4:C28,"&lt;&gt;"),"")</f>
      </c>
      <c r="G11" s="46">
        <f>IFERROR(AVERAGEIF(Novembre!F4:F28,"&lt;&gt;"),"")</f>
      </c>
      <c r="H11" s="45">
        <f>IFERROR(AVERAGEIF(Novembre!E4:E28,"&lt;&gt;")-AVERAGEIF(Novembre!D4:D28,"&lt;&gt;"),"")</f>
      </c>
      <c r="I11" s="42">
        <f t="shared" ref="I11:J11" si="6">IFERROR(C11*24,0)</f>
        <v>-14</v>
      </c>
      <c r="J11" s="42">
        <f t="shared" si="6"/>
        <v>0</v>
      </c>
    </row>
    <row r="12" ht="19.5" customHeight="1" spans="1:10" x14ac:dyDescent="0.25">
      <c r="A12" s="39" t="s">
        <v>75</v>
      </c>
      <c r="B12" s="40">
        <f>COUNTIF('Décembre'!C4:C30,"&lt;&gt;")</f>
        <v>0</v>
      </c>
      <c r="C12" s="10">
        <f>'Décembre'!G32</f>
        <v>-0.5833333333321207</v>
      </c>
      <c r="D12" s="11">
        <f>'Décembre'!H32</f>
        <v>0</v>
      </c>
      <c r="E12" s="41">
        <f t="shared" si="0"/>
      </c>
      <c r="F12" s="14">
        <f>IFERROR(AVERAGEIF('Décembre'!C4:C30,"&lt;&gt;"),"")</f>
      </c>
      <c r="G12" s="14">
        <f>IFERROR(AVERAGEIF('Décembre'!F4:F30,"&lt;&gt;"),"")</f>
      </c>
      <c r="H12" s="41">
        <f>IFERROR(AVERAGEIF('Décembre'!E4:E30,"&lt;&gt;")-AVERAGEIF('Décembre'!D4:D30,"&lt;&gt;"),"")</f>
      </c>
      <c r="I12" s="42">
        <f t="shared" ref="I12:J12" si="7">IFERROR(C12*24,0)</f>
        <v>-14</v>
      </c>
      <c r="J12" s="42">
        <f t="shared" si="7"/>
        <v>0</v>
      </c>
    </row>
    <row r="13" ht="24" customHeight="1" spans="1:10" x14ac:dyDescent="0.25">
      <c r="A13" s="47" t="s">
        <v>76</v>
      </c>
      <c r="B13" s="48">
        <f t="shared" ref="B13:D13" si="8">SUM(B6:B12)</f>
        <v>2</v>
      </c>
      <c r="C13" s="49">
        <f t="shared" si="8"/>
        <v>-4.132638888888323</v>
      </c>
      <c r="D13" s="50">
        <f t="shared" si="8"/>
        <v>0.07569444444379769</v>
      </c>
      <c r="E13" s="49">
        <f t="shared" si="0"/>
        <v>-2.0663194444459805</v>
      </c>
      <c r="F13" s="51" t="s">
        <v>27</v>
      </c>
      <c r="G13" s="51" t="s">
        <v>27</v>
      </c>
      <c r="H13" s="51" t="s">
        <v>27</v>
      </c>
      <c r="I13" s="52">
        <f t="shared" ref="I13:J13" si="9">SUM(I6:I12)</f>
        <v>-99.18333333</v>
      </c>
      <c r="J13" s="52">
        <f t="shared" si="9"/>
        <v>1.816666667</v>
      </c>
    </row>
    <row r="15" ht="24" customHeight="1" spans="1:8" x14ac:dyDescent="0.25">
      <c r="A15" s="37" t="s">
        <v>77</v>
      </c>
      <c r="B15" s="2"/>
      <c r="C15" s="2"/>
      <c r="D15" s="2"/>
      <c r="E15" s="2"/>
      <c r="F15" s="2"/>
      <c r="G15" s="2"/>
      <c r="H15" s="2"/>
    </row>
    <row r="16" ht="39.75" customHeight="1" spans="1:8" x14ac:dyDescent="0.25">
      <c r="A16" s="53" t="s">
        <v>78</v>
      </c>
      <c r="B16" s="54"/>
      <c r="C16" s="53" t="s">
        <v>79</v>
      </c>
      <c r="D16" s="54"/>
      <c r="E16" s="53" t="s">
        <v>80</v>
      </c>
      <c r="F16" s="54"/>
      <c r="G16" s="53" t="s">
        <v>81</v>
      </c>
      <c r="H16" s="54"/>
    </row>
    <row r="17" ht="39.75" customHeight="1" spans="1:8" x14ac:dyDescent="0.25">
      <c r="A17" s="55" t="str">
        <f>IFERROR(TEXT(AVERAGEIF(Juin!C4:C100,"&lt;&gt;"),"HH:MM")&amp;" (moy. juin)","—")</f>
        <v>06:59 (moy. juin)</v>
      </c>
      <c r="B17" s="54"/>
      <c r="C17" s="55" t="str">
        <f t="array" ref="C17">IFERROR(INDEX(A6:A12,MATCH(MAX(D6:D12),D6:D12,0)),"—")</f>
        <v>Juin</v>
      </c>
      <c r="D17" s="54"/>
      <c r="E17" s="55" t="s">
        <v>82</v>
      </c>
      <c r="F17" s="54"/>
      <c r="G17" s="55" t="str">
        <f>IFERROR(B13&amp;" jours","—")</f>
        <v>2 jours</v>
      </c>
      <c r="H17" s="5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A1:H1"/>
    <mergeCell ref="A2:H2"/>
    <mergeCell ref="A4:H4"/>
    <mergeCell ref="A15:H15"/>
    <mergeCell ref="A16:B16"/>
    <mergeCell ref="C16:D16"/>
    <mergeCell ref="E16:F16"/>
    <mergeCell ref="G16:H16"/>
    <mergeCell ref="A17:B17"/>
    <mergeCell ref="C17:D17"/>
    <mergeCell ref="E17:F17"/>
    <mergeCell ref="G17:H17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Juin</vt:lpstr>
      <vt:lpstr>Juillet</vt:lpstr>
      <vt:lpstr>Août</vt:lpstr>
      <vt:lpstr>Septembre</vt:lpstr>
      <vt:lpstr>Octobre</vt:lpstr>
      <vt:lpstr>Novembre</vt:lpstr>
      <vt:lpstr>Décembre</vt:lpstr>
      <vt:lpstr>📊 Tableau de 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2026-06-02T16:38:19Z</dcterms:created>
  <dcterms:modified xsi:type="dcterms:W3CDTF">2026-06-02T16:38:19Z</dcterms:modified>
</cp:coreProperties>
</file>